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80" windowWidth="16605" windowHeight="9135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<sst xmlns="http://schemas.openxmlformats.org/spreadsheetml/2006/main" count="389" uniqueCount="63">
  <si>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</si>
  <si>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</si>
  <si>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</si>
  <si>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</si>
  <si>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</si>
  <si>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</si>
  <si>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</si>
  <si>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</si>
  <si>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</si>
  <si>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</si>
  <si>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</si>
  <si>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</si>
  <si>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</si>
  <si>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</si>
  <si>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</si>
  <si>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</si>
  <si>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</si>
  <si>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</si>
  <si>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</si>
  <si>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</si>
  <si>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</si>
  <si>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</si>
  <si>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</si>
  <si>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</si>
  <si>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</si>
  <si>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</si>
  <si>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</si>
  <si>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</si>
  <si>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</si>
  <si>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</si>
  <si>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</si>
  <si>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</si>
  <si>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</si>
  <si>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</si>
  <si>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50ETF</t>
  </si>
  <si>
    <t>510050</t>
  </si>
  <si>
    <t>卖出</t>
  </si>
  <si>
    <t>上汽集团</t>
  </si>
  <si>
    <t>14:58:49</t>
  </si>
  <si>
    <t>2128</t>
  </si>
  <si>
    <t>600104</t>
  </si>
  <si>
    <t>0008746</t>
  </si>
  <si>
    <t>14:56:39</t>
  </si>
  <si>
    <t>2126</t>
  </si>
  <si>
    <t>0008658</t>
  </si>
  <si>
    <t>中国建筑</t>
  </si>
  <si>
    <t>14:54:27</t>
  </si>
  <si>
    <t>2114</t>
  </si>
  <si>
    <t>601668</t>
  </si>
  <si>
    <t>0008570</t>
  </si>
  <si>
    <t>广汽集团</t>
  </si>
  <si>
    <t>14:52:52</t>
  </si>
  <si>
    <t>2110</t>
  </si>
  <si>
    <t>601238</t>
  </si>
  <si>
    <t>0008503</t>
  </si>
  <si>
    <t>保利地产</t>
  </si>
  <si>
    <t>14:52:09</t>
  </si>
  <si>
    <t>2105</t>
  </si>
  <si>
    <t>600048</t>
  </si>
  <si>
    <t>0008468</t>
  </si>
  <si>
    <t>14:51:46</t>
  </si>
  <si>
    <t>2102</t>
  </si>
  <si>
    <t>0008450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</si>
</sst>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tabSelected="1" zoomScale="130" zoomScaleNormal="130" workbookViewId="0">
      <pane ySplit="1" topLeftCell="A2" activePane="bottomLeft" state="frozen"/>
      <selection pane="bottomLeft" activeCell="A2" sqref="A2:N7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37</v>
      </c>
      <c r="B2" s="7" t="s">
        <v>33</v>
      </c>
      <c r="C2" s="7">
        <v>30.34</v>
      </c>
      <c r="D2" s="7">
        <v>600</v>
      </c>
      <c r="E2" s="7">
        <v>30.34</v>
      </c>
      <c r="F2" s="7">
        <v>600</v>
      </c>
      <c r="G2" s="7" t="s">
        <v>29</v>
      </c>
      <c r="H2" s="7" t="s">
        <v>38</v>
      </c>
      <c r="I2" s="7" t="s">
        <v>39</v>
      </c>
      <c r="J2" s="7" t="s">
        <v>40</v>
      </c>
      <c r="K2" s="7" t="s">
        <v>30</v>
      </c>
      <c r="L2" s="7" t="s">
        <v>31</v>
      </c>
      <c r="M2" s="7" t="s">
        <v>32</v>
      </c>
      <c r="N2" s="7" t="s">
        <v>41</v>
      </c>
      <c r="O2" s="4"/>
    </row>
    <row r="3" spans="1:15" x14ac:dyDescent="0.15">
      <c r="A3" s="7" t="s">
        <v>34</v>
      </c>
      <c r="B3" s="7" t="s">
        <v>36</v>
      </c>
      <c r="C3" s="7">
        <v>2.68</v>
      </c>
      <c r="D3" s="7">
        <v>30000</v>
      </c>
      <c r="E3" s="7">
        <v>2.68</v>
      </c>
      <c r="F3" s="7">
        <v>30000</v>
      </c>
      <c r="G3" s="7" t="s">
        <v>29</v>
      </c>
      <c r="H3" s="7" t="s">
        <v>42</v>
      </c>
      <c r="I3" s="7" t="s">
        <v>43</v>
      </c>
      <c r="J3" s="7" t="s">
        <v>35</v>
      </c>
      <c r="K3" s="7" t="s">
        <v>30</v>
      </c>
      <c r="L3" s="7" t="s">
        <v>31</v>
      </c>
      <c r="M3" s="7" t="s">
        <v>32</v>
      </c>
      <c r="N3" s="7" t="s">
        <v>44</v>
      </c>
      <c r="O3" s="4"/>
    </row>
    <row r="4" spans="1:15" x14ac:dyDescent="0.15">
      <c r="A4" s="7" t="s">
        <v>45</v>
      </c>
      <c r="B4" s="7" t="s">
        <v>36</v>
      </c>
      <c r="C4" s="7">
        <v>10.28</v>
      </c>
      <c r="D4" s="7">
        <v>5000</v>
      </c>
      <c r="E4" s="7">
        <v>10.28</v>
      </c>
      <c r="F4" s="7">
        <v>5000</v>
      </c>
      <c r="G4" s="7" t="s">
        <v>29</v>
      </c>
      <c r="H4" s="7" t="s">
        <v>46</v>
      </c>
      <c r="I4" s="7" t="s">
        <v>47</v>
      </c>
      <c r="J4" s="7" t="s">
        <v>48</v>
      </c>
      <c r="K4" s="7" t="s">
        <v>30</v>
      </c>
      <c r="L4" s="7" t="s">
        <v>31</v>
      </c>
      <c r="M4" s="7" t="s">
        <v>32</v>
      </c>
      <c r="N4" s="7" t="s">
        <v>49</v>
      </c>
    </row>
    <row r="5" spans="1:15" x14ac:dyDescent="0.15">
      <c r="A5" s="7" t="s">
        <v>50</v>
      </c>
      <c r="B5" s="7" t="s">
        <v>36</v>
      </c>
      <c r="C5" s="7">
        <v>26.19</v>
      </c>
      <c r="D5" s="7">
        <v>2000</v>
      </c>
      <c r="E5" s="7">
        <v>26.19</v>
      </c>
      <c r="F5" s="7">
        <v>2000</v>
      </c>
      <c r="G5" s="7" t="s">
        <v>29</v>
      </c>
      <c r="H5" s="7" t="s">
        <v>51</v>
      </c>
      <c r="I5" s="7" t="s">
        <v>52</v>
      </c>
      <c r="J5" s="7" t="s">
        <v>53</v>
      </c>
      <c r="K5" s="7" t="s">
        <v>30</v>
      </c>
      <c r="L5" s="7" t="s">
        <v>31</v>
      </c>
      <c r="M5" s="7" t="s">
        <v>32</v>
      </c>
      <c r="N5" s="7" t="s">
        <v>54</v>
      </c>
    </row>
    <row r="6" spans="1:15" x14ac:dyDescent="0.15">
      <c r="A6" s="7" t="s">
        <v>55</v>
      </c>
      <c r="B6" s="7" t="s">
        <v>36</v>
      </c>
      <c r="C6" s="7">
        <v>10.64</v>
      </c>
      <c r="D6" s="7">
        <v>5000</v>
      </c>
      <c r="E6" s="7">
        <v>10.64</v>
      </c>
      <c r="F6" s="7">
        <v>5000</v>
      </c>
      <c r="G6" s="7" t="s">
        <v>29</v>
      </c>
      <c r="H6" s="7" t="s">
        <v>56</v>
      </c>
      <c r="I6" s="7" t="s">
        <v>57</v>
      </c>
      <c r="J6" s="7" t="s">
        <v>58</v>
      </c>
      <c r="K6" s="7" t="s">
        <v>30</v>
      </c>
      <c r="L6" s="7" t="s">
        <v>31</v>
      </c>
      <c r="M6" s="7" t="s">
        <v>32</v>
      </c>
      <c r="N6" s="7" t="s">
        <v>59</v>
      </c>
    </row>
    <row r="7" spans="1:15" x14ac:dyDescent="0.15">
      <c r="A7" s="7" t="s">
        <v>55</v>
      </c>
      <c r="B7" s="7" t="s">
        <v>36</v>
      </c>
      <c r="C7" s="7">
        <v>10.64</v>
      </c>
      <c r="D7" s="7">
        <v>5000</v>
      </c>
      <c r="E7" s="7">
        <v>10.64</v>
      </c>
      <c r="F7" s="7">
        <v>5000</v>
      </c>
      <c r="G7" s="7" t="s">
        <v>29</v>
      </c>
      <c r="H7" s="7" t="s">
        <v>60</v>
      </c>
      <c r="I7" s="7" t="s">
        <v>61</v>
      </c>
      <c r="J7" s="7" t="s">
        <v>58</v>
      </c>
      <c r="K7" s="7" t="s">
        <v>30</v>
      </c>
      <c r="L7" s="7" t="s">
        <v>31</v>
      </c>
      <c r="M7" s="7" t="s">
        <v>32</v>
      </c>
      <c r="N7" s="7" t="s">
        <v>62</v>
      </c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6" sqref="G26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42944</v>
      </c>
      <c r="B2" s="5" t="str">
        <f>'20161118 当日委托查询'!H2</f>
        <v>14:58:49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600104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600</v>
      </c>
      <c r="L2" s="7">
        <v>1</v>
      </c>
      <c r="M2" s="7">
        <f>'20161118 当日委托查询'!E2</f>
        <v>30.34</v>
      </c>
    </row>
    <row r="3" spans="1:25" x14ac:dyDescent="0.15">
      <c r="A3" s="2">
        <f t="shared" ca="1" si="0"/>
        <v>42944</v>
      </c>
      <c r="B3" s="5" t="str">
        <f>'20161118 当日委托查询'!H3</f>
        <v>14:56:39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510050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-30000</v>
      </c>
      <c r="L3" s="7">
        <v>1</v>
      </c>
      <c r="M3" s="7">
        <f>'20161118 当日委托查询'!E3</f>
        <v>2.68</v>
      </c>
    </row>
    <row r="4" spans="1:25" x14ac:dyDescent="0.15">
      <c r="A4" s="2">
        <f t="shared" ca="1" si="0"/>
        <v>42944</v>
      </c>
      <c r="B4" s="5" t="str">
        <f>'20161118 当日委托查询'!H4</f>
        <v>14:54:27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601668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-5000</v>
      </c>
      <c r="L4" s="7">
        <v>1</v>
      </c>
      <c r="M4" s="7">
        <f>'20161118 当日委托查询'!E4</f>
        <v>10.28</v>
      </c>
    </row>
    <row r="5" spans="1:25" x14ac:dyDescent="0.15">
      <c r="A5" s="2">
        <f t="shared" ca="1" si="0"/>
        <v>42944</v>
      </c>
      <c r="B5" s="5" t="str">
        <f>'20161118 当日委托查询'!H5</f>
        <v>14:52:52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601238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-2000</v>
      </c>
      <c r="L5" s="7">
        <v>1</v>
      </c>
      <c r="M5" s="7">
        <f>'20161118 当日委托查询'!E5</f>
        <v>26.19</v>
      </c>
    </row>
    <row r="6" spans="1:25" x14ac:dyDescent="0.15">
      <c r="A6" s="2">
        <f t="shared" ca="1" si="0"/>
        <v>42944</v>
      </c>
      <c r="B6" s="5" t="str">
        <f>'20161118 当日委托查询'!H6</f>
        <v>14:52:09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600048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-5000</v>
      </c>
      <c r="L6" s="7">
        <v>1</v>
      </c>
      <c r="M6" s="7">
        <f>'20161118 当日委托查询'!E6</f>
        <v>10.64</v>
      </c>
    </row>
    <row r="7" spans="1:25" x14ac:dyDescent="0.15">
      <c r="A7" s="2">
        <f t="shared" ca="1" si="0"/>
        <v>42944</v>
      </c>
      <c r="B7" s="5" t="str">
        <f>'20161118 当日委托查询'!H7</f>
        <v>14:51:46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600048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-5000</v>
      </c>
      <c r="L7" s="7">
        <v>1</v>
      </c>
      <c r="M7" s="7">
        <f>'20161118 当日委托查询'!E7</f>
        <v>10.64</v>
      </c>
    </row>
    <row r="8" spans="1:25" x14ac:dyDescent="0.15">
      <c r="A8" s="2">
        <f t="shared" ca="1" si="0"/>
        <v>42944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42944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42944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42944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42944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42944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42944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42944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42944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42944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42944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42944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42944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42944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42944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42944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42944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42944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42944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42944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42944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42944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42944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42944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42944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42944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42944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42944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42944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42944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42944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42944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42944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42944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42944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42944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42944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42944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42944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42944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42944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42944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42944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42944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42944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42944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42944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42944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42944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42944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42944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42944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42944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42944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42944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42944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42944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42944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42944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42944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42944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42944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42944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42944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42944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42944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42944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42944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42944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42944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2017-07-28T07:06:51Z</dcterms:modified>
</cp:coreProperties>
</file>