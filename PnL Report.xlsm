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870" windowWidth="16605" windowHeight="9045" activeTab="1"/>
  </bookViews>
  <sheets>
    <sheet name="20161118 当日委托查询" sheetId="1" r:id="rId1"/>
    <sheet name="Main" sheetId="4" r:id="rId2"/>
    <sheet name="Margin 委托" sheetId="2" r:id="rId3"/>
    <sheet name="Margin main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 calcCompleted="0"/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2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2" i="3"/>
  <c r="I3" i="3"/>
  <c r="K3" i="3" s="1"/>
  <c r="I4" i="3"/>
  <c r="K4" i="3" s="1"/>
  <c r="I5" i="3"/>
  <c r="K5" i="3" s="1"/>
  <c r="I6" i="3"/>
  <c r="K6" i="3" s="1"/>
  <c r="I7" i="3"/>
  <c r="K7" i="3" s="1"/>
  <c r="I8" i="3"/>
  <c r="K8" i="3" s="1"/>
  <c r="I9" i="3"/>
  <c r="K9" i="3" s="1"/>
  <c r="I10" i="3"/>
  <c r="K10" i="3" s="1"/>
  <c r="I11" i="3"/>
  <c r="K11" i="3" s="1"/>
  <c r="I12" i="3"/>
  <c r="K12" i="3" s="1"/>
  <c r="I13" i="3"/>
  <c r="K13" i="3" s="1"/>
  <c r="I14" i="3"/>
  <c r="K14" i="3" s="1"/>
  <c r="I15" i="3"/>
  <c r="K15" i="3" s="1"/>
  <c r="I2" i="3"/>
  <c r="K2" i="3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2" i="3"/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<sst xmlns="http://schemas.openxmlformats.org/spreadsheetml/2006/main" count="477" uniqueCount="81">
  <si>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</si>
  <si>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</si>
  <si>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</si>
  <si>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</si>
  <si>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</si>
  <si>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</si>
  <si>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</si>
  <si>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</si>
  <si>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</si>
  <si>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</si>
  <si>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</si>
  <si>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</si>
  <si>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</si>
  <si>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</si>
  <si>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</si>
  <si>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</si>
  <si>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</si>
  <si>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</si>
  <si>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</si>
  <si>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</si>
  <si>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</si>
  <si>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</si>
  <si>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</si>
  <si>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</si>
  <si>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</si>
  <si>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</si>
  <si>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</si>
  <si>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</si>
  <si>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</si>
  <si>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证券名称</t>
  </si>
  <si>
    <t>买卖标志</t>
  </si>
  <si>
    <t>委托价格</t>
  </si>
  <si>
    <t>委托数量</t>
  </si>
  <si>
    <t>成交价格</t>
  </si>
  <si>
    <t>成交数量</t>
  </si>
  <si>
    <t>状态说明</t>
  </si>
  <si>
    <t>委托时间</t>
  </si>
  <si>
    <t>委托编号</t>
  </si>
  <si>
    <t>证券代码</t>
  </si>
  <si>
    <t>股东代码</t>
  </si>
  <si>
    <t>备注</t>
  </si>
  <si>
    <t>撤单数量</t>
  </si>
  <si>
    <t>已成</t>
  </si>
  <si>
    <t>E046935023</t>
  </si>
  <si>
    <t>招商</t>
  </si>
  <si>
    <t>CNY</t>
  </si>
  <si>
    <t>O</t>
  </si>
  <si>
    <t>50ETF</t>
  </si>
  <si>
    <t>510050</t>
  </si>
  <si>
    <t>Margin</t>
    <phoneticPr fontId="18" type="noConversion"/>
  </si>
  <si>
    <t>证券卖出</t>
  </si>
  <si>
    <t>13:03:07</t>
  </si>
  <si>
    <t>118304</t>
  </si>
  <si>
    <t>卖出担保品</t>
  </si>
  <si>
    <t>13:13:38</t>
  </si>
  <si>
    <t>124550</t>
  </si>
  <si>
    <t>买入</t>
  </si>
  <si>
    <t>已成交</t>
  </si>
  <si>
    <t>A153608419</t>
  </si>
  <si>
    <t>限价</t>
  </si>
  <si>
    <t>网上委托</t>
  </si>
  <si>
    <t>中国联通</t>
  </si>
  <si>
    <t>卖出</t>
  </si>
  <si>
    <t>10:03:21</t>
  </si>
  <si>
    <t>69</t>
  </si>
  <si>
    <t>600050</t>
  </si>
  <si>
    <t>0003001</t>
  </si>
  <si>
    <t>10:02:06</t>
  </si>
  <si>
    <t>66</t>
  </si>
  <si>
    <t>0002907</t>
  </si>
  <si>
    <t>贵州茅台</t>
  </si>
  <si>
    <t>09:44:07</t>
  </si>
  <si>
    <t>63</t>
  </si>
  <si>
    <t>600519</t>
  </si>
  <si>
    <t>0001745</t>
  </si>
  <si>
    <t>09:39:22</t>
  </si>
  <si>
    <t>60</t>
  </si>
  <si>
    <t>0001419</t>
  </si>
  <si>
    <t>09:36:56</t>
  </si>
  <si>
    <t>56</t>
  </si>
  <si>
    <t>0001228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</si>
</sst>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:N6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61</v>
      </c>
      <c r="B2" s="7" t="s">
        <v>62</v>
      </c>
      <c r="C2" s="7">
        <v>9.0399999999999991</v>
      </c>
      <c r="D2" s="7">
        <v>8000</v>
      </c>
      <c r="E2" s="7">
        <v>9.0399999999999991</v>
      </c>
      <c r="F2" s="7">
        <v>8000</v>
      </c>
      <c r="G2" s="7" t="s">
        <v>57</v>
      </c>
      <c r="H2" s="7" t="s">
        <v>63</v>
      </c>
      <c r="I2" s="7" t="s">
        <v>64</v>
      </c>
      <c r="J2" s="7" t="s">
        <v>65</v>
      </c>
      <c r="K2" s="7" t="s">
        <v>58</v>
      </c>
      <c r="L2" s="7" t="s">
        <v>59</v>
      </c>
      <c r="M2" s="7" t="s">
        <v>60</v>
      </c>
      <c r="N2" s="7" t="s">
        <v>66</v>
      </c>
      <c r="O2" s="4"/>
    </row>
    <row r="3" spans="1:15" x14ac:dyDescent="0.15">
      <c r="A3" s="7" t="s">
        <v>61</v>
      </c>
      <c r="B3" s="7" t="s">
        <v>62</v>
      </c>
      <c r="C3" s="7">
        <v>8.9700000000000006</v>
      </c>
      <c r="D3" s="7">
        <v>7000</v>
      </c>
      <c r="E3" s="7">
        <v>8.9700000000000006</v>
      </c>
      <c r="F3" s="7">
        <v>7000</v>
      </c>
      <c r="G3" s="7" t="s">
        <v>57</v>
      </c>
      <c r="H3" s="7" t="s">
        <v>67</v>
      </c>
      <c r="I3" s="7" t="s">
        <v>68</v>
      </c>
      <c r="J3" s="7" t="s">
        <v>65</v>
      </c>
      <c r="K3" s="7" t="s">
        <v>58</v>
      </c>
      <c r="L3" s="7" t="s">
        <v>59</v>
      </c>
      <c r="M3" s="7" t="s">
        <v>60</v>
      </c>
      <c r="N3" s="7" t="s">
        <v>69</v>
      </c>
      <c r="O3" s="4"/>
    </row>
    <row r="4" spans="1:15" x14ac:dyDescent="0.15">
      <c r="A4" s="7" t="s">
        <v>70</v>
      </c>
      <c r="B4" s="7" t="s">
        <v>56</v>
      </c>
      <c r="C4" s="7">
        <v>478.9</v>
      </c>
      <c r="D4" s="7">
        <v>100</v>
      </c>
      <c r="E4" s="7">
        <v>478.9</v>
      </c>
      <c r="F4" s="7">
        <v>100</v>
      </c>
      <c r="G4" s="7" t="s">
        <v>57</v>
      </c>
      <c r="H4" s="7" t="s">
        <v>71</v>
      </c>
      <c r="I4" s="7" t="s">
        <v>72</v>
      </c>
      <c r="J4" s="7" t="s">
        <v>73</v>
      </c>
      <c r="K4" s="7" t="s">
        <v>58</v>
      </c>
      <c r="L4" s="7" t="s">
        <v>59</v>
      </c>
      <c r="M4" s="7" t="s">
        <v>60</v>
      </c>
      <c r="N4" s="7" t="s">
        <v>74</v>
      </c>
    </row>
    <row r="5" spans="1:15" x14ac:dyDescent="0.15">
      <c r="A5" s="7" t="s">
        <v>70</v>
      </c>
      <c r="B5" s="7" t="s">
        <v>56</v>
      </c>
      <c r="C5" s="7">
        <v>482.2</v>
      </c>
      <c r="D5" s="7">
        <v>100</v>
      </c>
      <c r="E5" s="7">
        <v>482.2</v>
      </c>
      <c r="F5" s="7">
        <v>100</v>
      </c>
      <c r="G5" s="7" t="s">
        <v>57</v>
      </c>
      <c r="H5" s="7" t="s">
        <v>75</v>
      </c>
      <c r="I5" s="7" t="s">
        <v>76</v>
      </c>
      <c r="J5" s="7" t="s">
        <v>73</v>
      </c>
      <c r="K5" s="7" t="s">
        <v>58</v>
      </c>
      <c r="L5" s="7" t="s">
        <v>59</v>
      </c>
      <c r="M5" s="7" t="s">
        <v>60</v>
      </c>
      <c r="N5" s="7" t="s">
        <v>77</v>
      </c>
    </row>
    <row r="6" spans="1:15" x14ac:dyDescent="0.15">
      <c r="A6" s="7" t="s">
        <v>70</v>
      </c>
      <c r="B6" s="7" t="s">
        <v>56</v>
      </c>
      <c r="C6" s="7">
        <v>485.02</v>
      </c>
      <c r="D6" s="7">
        <v>100</v>
      </c>
      <c r="E6" s="7">
        <v>484.5</v>
      </c>
      <c r="F6" s="7">
        <v>100</v>
      </c>
      <c r="G6" s="7" t="s">
        <v>57</v>
      </c>
      <c r="H6" s="7" t="s">
        <v>78</v>
      </c>
      <c r="I6" s="7" t="s">
        <v>79</v>
      </c>
      <c r="J6" s="7" t="s">
        <v>73</v>
      </c>
      <c r="K6" s="7" t="s">
        <v>58</v>
      </c>
      <c r="L6" s="7" t="s">
        <v>59</v>
      </c>
      <c r="M6" s="7" t="s">
        <v>60</v>
      </c>
      <c r="N6" s="7" t="s">
        <v>80</v>
      </c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M6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42969</v>
      </c>
      <c r="B2" s="5" t="str">
        <f>'20161118 当日委托查询'!H2</f>
        <v>10:03:21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600050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-8000</v>
      </c>
      <c r="L2" s="7">
        <v>1</v>
      </c>
      <c r="M2" s="7">
        <f>'20161118 当日委托查询'!E2</f>
        <v>9.0399999999999991</v>
      </c>
    </row>
    <row r="3" spans="1:25" x14ac:dyDescent="0.15">
      <c r="A3" s="2">
        <f t="shared" ca="1" si="0"/>
        <v>42969</v>
      </c>
      <c r="B3" s="5" t="str">
        <f>'20161118 当日委托查询'!H3</f>
        <v>10:02:06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600050</v>
      </c>
      <c r="I3" s="7" t="str">
        <f>IF('20161118 当日委托查询'!B3="卖出","S","B")</f>
        <v>S</v>
      </c>
      <c r="J3" s="7" t="s">
        <v>28</v>
      </c>
      <c r="K3" s="7">
        <f>IF(I3="S",-1*'20161118 当日委托查询'!F3,'20161118 当日委托查询'!F3)</f>
        <v>-7000</v>
      </c>
      <c r="L3" s="7">
        <v>1</v>
      </c>
      <c r="M3" s="7">
        <f>'20161118 当日委托查询'!E3</f>
        <v>8.9700000000000006</v>
      </c>
    </row>
    <row r="4" spans="1:25" x14ac:dyDescent="0.15">
      <c r="A4" s="2">
        <f t="shared" ca="1" si="0"/>
        <v>42969</v>
      </c>
      <c r="B4" s="5" t="str">
        <f>'20161118 当日委托查询'!H4</f>
        <v>09:44:07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600519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100</v>
      </c>
      <c r="L4" s="7">
        <v>1</v>
      </c>
      <c r="M4" s="7">
        <f>'20161118 当日委托查询'!E4</f>
        <v>478.9</v>
      </c>
    </row>
    <row r="5" spans="1:25" x14ac:dyDescent="0.15">
      <c r="A5" s="2">
        <f t="shared" ca="1" si="0"/>
        <v>42969</v>
      </c>
      <c r="B5" s="5" t="str">
        <f>'20161118 当日委托查询'!H5</f>
        <v>09:39:22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600519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100</v>
      </c>
      <c r="L5" s="7">
        <v>1</v>
      </c>
      <c r="M5" s="7">
        <f>'20161118 当日委托查询'!E5</f>
        <v>482.2</v>
      </c>
    </row>
    <row r="6" spans="1:25" x14ac:dyDescent="0.15">
      <c r="A6" s="2">
        <f t="shared" ca="1" si="0"/>
        <v>42969</v>
      </c>
      <c r="B6" s="5" t="str">
        <f>'20161118 当日委托查询'!H6</f>
        <v>09:36:56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600519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100</v>
      </c>
      <c r="L6" s="7">
        <v>1</v>
      </c>
      <c r="M6" s="7">
        <f>'20161118 当日委托查询'!E6</f>
        <v>484.5</v>
      </c>
    </row>
    <row r="7" spans="1:25" x14ac:dyDescent="0.15">
      <c r="A7" s="2">
        <f t="shared" ca="1" si="0"/>
        <v>42969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42969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42969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42969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42969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42969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42969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42969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42969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42969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42969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42969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42969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42969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42969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42969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42969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42969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42969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42969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42969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42969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42969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42969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42969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42969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42969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42969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42969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42969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42969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42969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42969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42969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42969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42969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42969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42969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42969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42969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42969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42969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42969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42969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42969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42969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42969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42969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42969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42969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42969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42969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42969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42969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42969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42969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42969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42969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42969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42969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42969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42969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42969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42969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42969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42969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42969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42969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42969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42969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42969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zoomScale="115" zoomScaleNormal="115" workbookViewId="0">
      <selection activeCell="A2" sqref="A2:M3"/>
    </sheetView>
  </sheetViews>
  <sheetFormatPr defaultRowHeight="13.5" x14ac:dyDescent="0.15"/>
  <sheetData>
    <row r="1" spans="1:13" x14ac:dyDescent="0.1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15">
      <c r="A2" t="s">
        <v>47</v>
      </c>
      <c r="B2" t="s">
        <v>50</v>
      </c>
      <c r="C2">
        <v>2.6190000000000002</v>
      </c>
      <c r="D2">
        <v>300000</v>
      </c>
      <c r="E2">
        <v>2.6190000000000002</v>
      </c>
      <c r="F2">
        <v>300000</v>
      </c>
      <c r="G2" t="s">
        <v>42</v>
      </c>
      <c r="H2" t="s">
        <v>51</v>
      </c>
      <c r="I2" t="s">
        <v>52</v>
      </c>
      <c r="J2" t="s">
        <v>48</v>
      </c>
      <c r="K2" t="s">
        <v>43</v>
      </c>
      <c r="L2" t="s">
        <v>53</v>
      </c>
      <c r="M2">
        <v>0</v>
      </c>
    </row>
    <row r="3" spans="1:13" x14ac:dyDescent="0.15">
      <c r="A3" t="s">
        <v>47</v>
      </c>
      <c r="B3" t="s">
        <v>50</v>
      </c>
      <c r="C3">
        <v>2.6219999999999999</v>
      </c>
      <c r="D3">
        <v>294200</v>
      </c>
      <c r="E3">
        <v>2.6219999999999999</v>
      </c>
      <c r="F3">
        <v>294200</v>
      </c>
      <c r="G3" t="s">
        <v>42</v>
      </c>
      <c r="H3" t="s">
        <v>54</v>
      </c>
      <c r="I3" t="s">
        <v>55</v>
      </c>
      <c r="J3" t="s">
        <v>48</v>
      </c>
      <c r="K3" t="s">
        <v>43</v>
      </c>
      <c r="L3" t="s">
        <v>53</v>
      </c>
      <c r="M3">
        <v>0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"/>
  <sheetViews>
    <sheetView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1" sqref="D11"/>
    </sheetView>
  </sheetViews>
  <sheetFormatPr defaultRowHeight="13.5" x14ac:dyDescent="0.15"/>
  <cols>
    <col min="1" max="1" width="9.5" bestFit="1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15">
      <c r="A2" s="2">
        <f t="shared" ref="A2:A15" ca="1" si="0">TODAY()</f>
        <v>42969</v>
      </c>
      <c r="B2" t="str">
        <f>+'Margin 委托'!H2</f>
        <v>13:03:07</v>
      </c>
      <c r="C2" t="s">
        <v>49</v>
      </c>
      <c r="D2" t="s">
        <v>44</v>
      </c>
      <c r="E2" t="s">
        <v>45</v>
      </c>
      <c r="H2" t="str">
        <f>'Margin 委托'!J2</f>
        <v>510050</v>
      </c>
      <c r="I2" t="str">
        <f>IF('Margin 委托'!B2="证券买入","B","S")</f>
        <v>S</v>
      </c>
      <c r="J2" t="s">
        <v>46</v>
      </c>
      <c r="K2">
        <f>IF(I2="S",-1*('Margin 委托'!F2),'Margin 委托'!F2)</f>
        <v>-300000</v>
      </c>
      <c r="L2">
        <v>1</v>
      </c>
      <c r="M2">
        <f>'Margin 委托'!E2</f>
        <v>2.6190000000000002</v>
      </c>
    </row>
    <row r="3" spans="1:13" x14ac:dyDescent="0.15">
      <c r="A3" s="2">
        <f t="shared" ca="1" si="0"/>
        <v>42969</v>
      </c>
      <c r="B3" s="7" t="str">
        <f>+'Margin 委托'!H3</f>
        <v>13:13:38</v>
      </c>
      <c r="C3" s="7" t="s">
        <v>49</v>
      </c>
      <c r="D3" t="s">
        <v>44</v>
      </c>
      <c r="E3" t="s">
        <v>45</v>
      </c>
      <c r="H3" s="7" t="str">
        <f>'Margin 委托'!J3</f>
        <v>510050</v>
      </c>
      <c r="I3" s="7" t="str">
        <f>IF('Margin 委托'!B3="证券买入","B","S")</f>
        <v>S</v>
      </c>
      <c r="J3" t="s">
        <v>46</v>
      </c>
      <c r="K3" s="7">
        <f>IF(I3="S",-1*('Margin 委托'!F3),'Margin 委托'!F3)</f>
        <v>-294200</v>
      </c>
      <c r="L3">
        <v>1</v>
      </c>
      <c r="M3" s="7">
        <f>'Margin 委托'!E3</f>
        <v>2.6219999999999999</v>
      </c>
    </row>
    <row r="4" spans="1:13" x14ac:dyDescent="0.15">
      <c r="A4" s="2">
        <f t="shared" ca="1" si="0"/>
        <v>42969</v>
      </c>
      <c r="B4" s="7">
        <f>+'Margin 委托'!H4</f>
        <v>0</v>
      </c>
      <c r="C4" s="7" t="s">
        <v>49</v>
      </c>
      <c r="D4" t="s">
        <v>44</v>
      </c>
      <c r="E4" t="s">
        <v>45</v>
      </c>
      <c r="H4" s="7">
        <f>'Margin 委托'!J4</f>
        <v>0</v>
      </c>
      <c r="I4" s="7" t="str">
        <f>IF('Margin 委托'!B4="证券买入","B","S")</f>
        <v>S</v>
      </c>
      <c r="J4" t="s">
        <v>46</v>
      </c>
      <c r="K4" s="7">
        <f>IF(I4="S",-1*('Margin 委托'!F4),'Margin 委托'!F4)</f>
        <v>0</v>
      </c>
      <c r="L4">
        <v>1</v>
      </c>
      <c r="M4" s="7">
        <f>'Margin 委托'!E4</f>
        <v>0</v>
      </c>
    </row>
    <row r="5" spans="1:13" x14ac:dyDescent="0.15">
      <c r="A5" s="2">
        <f t="shared" ca="1" si="0"/>
        <v>42969</v>
      </c>
      <c r="B5" s="7">
        <f>+'Margin 委托'!H5</f>
        <v>0</v>
      </c>
      <c r="C5" s="7" t="s">
        <v>49</v>
      </c>
      <c r="D5" t="s">
        <v>44</v>
      </c>
      <c r="E5" t="s">
        <v>45</v>
      </c>
      <c r="H5" s="7">
        <f>'Margin 委托'!J5</f>
        <v>0</v>
      </c>
      <c r="I5" s="7" t="str">
        <f>IF('Margin 委托'!B5="证券买入","B","S")</f>
        <v>S</v>
      </c>
      <c r="J5" t="s">
        <v>46</v>
      </c>
      <c r="K5" s="7">
        <f>IF(I5="S",-1*('Margin 委托'!F5),'Margin 委托'!F5)</f>
        <v>0</v>
      </c>
      <c r="L5">
        <v>1</v>
      </c>
      <c r="M5" s="7">
        <f>'Margin 委托'!E5</f>
        <v>0</v>
      </c>
    </row>
    <row r="6" spans="1:13" x14ac:dyDescent="0.15">
      <c r="A6" s="2">
        <f t="shared" ca="1" si="0"/>
        <v>42969</v>
      </c>
      <c r="B6" s="7">
        <f>+'Margin 委托'!H6</f>
        <v>0</v>
      </c>
      <c r="C6" s="7" t="s">
        <v>49</v>
      </c>
      <c r="D6" t="s">
        <v>44</v>
      </c>
      <c r="E6" t="s">
        <v>45</v>
      </c>
      <c r="H6" s="7">
        <f>'Margin 委托'!J6</f>
        <v>0</v>
      </c>
      <c r="I6" s="7" t="str">
        <f>IF('Margin 委托'!B6="证券买入","B","S")</f>
        <v>S</v>
      </c>
      <c r="J6" t="s">
        <v>46</v>
      </c>
      <c r="K6" s="7">
        <f>IF(I6="S",-1*('Margin 委托'!F6),'Margin 委托'!F6)</f>
        <v>0</v>
      </c>
      <c r="L6">
        <v>1</v>
      </c>
      <c r="M6" s="7">
        <f>'Margin 委托'!E6</f>
        <v>0</v>
      </c>
    </row>
    <row r="7" spans="1:13" x14ac:dyDescent="0.15">
      <c r="A7" s="2">
        <f t="shared" ca="1" si="0"/>
        <v>42969</v>
      </c>
      <c r="B7" s="7">
        <f>+'Margin 委托'!H7</f>
        <v>0</v>
      </c>
      <c r="C7" s="7" t="s">
        <v>49</v>
      </c>
      <c r="D7" t="s">
        <v>44</v>
      </c>
      <c r="E7" t="s">
        <v>45</v>
      </c>
      <c r="H7" s="7">
        <f>'Margin 委托'!J7</f>
        <v>0</v>
      </c>
      <c r="I7" s="7" t="str">
        <f>IF('Margin 委托'!B7="证券买入","B","S")</f>
        <v>S</v>
      </c>
      <c r="J7" t="s">
        <v>46</v>
      </c>
      <c r="K7" s="7">
        <f>IF(I7="S",-1*('Margin 委托'!F7),'Margin 委托'!F7)</f>
        <v>0</v>
      </c>
      <c r="L7">
        <v>1</v>
      </c>
      <c r="M7" s="7">
        <f>'Margin 委托'!E7</f>
        <v>0</v>
      </c>
    </row>
    <row r="8" spans="1:13" x14ac:dyDescent="0.15">
      <c r="A8" s="2">
        <f t="shared" ca="1" si="0"/>
        <v>42969</v>
      </c>
      <c r="B8" s="7">
        <f>+'Margin 委托'!H8</f>
        <v>0</v>
      </c>
      <c r="C8" s="7" t="s">
        <v>49</v>
      </c>
      <c r="D8" t="s">
        <v>44</v>
      </c>
      <c r="E8" t="s">
        <v>45</v>
      </c>
      <c r="H8" s="7">
        <f>'Margin 委托'!J8</f>
        <v>0</v>
      </c>
      <c r="I8" s="7" t="str">
        <f>IF('Margin 委托'!B8="证券买入","B","S")</f>
        <v>S</v>
      </c>
      <c r="J8" t="s">
        <v>46</v>
      </c>
      <c r="K8" s="7">
        <f>IF(I8="S",-1*('Margin 委托'!F8),'Margin 委托'!F8)</f>
        <v>0</v>
      </c>
      <c r="L8">
        <v>1</v>
      </c>
      <c r="M8" s="7">
        <f>'Margin 委托'!E8</f>
        <v>0</v>
      </c>
    </row>
    <row r="9" spans="1:13" x14ac:dyDescent="0.15">
      <c r="A9" s="2">
        <f t="shared" ca="1" si="0"/>
        <v>42969</v>
      </c>
      <c r="B9" s="7">
        <f>+'Margin 委托'!H9</f>
        <v>0</v>
      </c>
      <c r="C9" s="7" t="s">
        <v>49</v>
      </c>
      <c r="D9" t="s">
        <v>44</v>
      </c>
      <c r="E9" t="s">
        <v>45</v>
      </c>
      <c r="H9" s="7">
        <f>'Margin 委托'!J9</f>
        <v>0</v>
      </c>
      <c r="I9" s="7" t="str">
        <f>IF('Margin 委托'!B9="证券买入","B","S")</f>
        <v>S</v>
      </c>
      <c r="J9" t="s">
        <v>46</v>
      </c>
      <c r="K9" s="7">
        <f>IF(I9="S",-1*('Margin 委托'!F9),'Margin 委托'!F9)</f>
        <v>0</v>
      </c>
      <c r="L9">
        <v>1</v>
      </c>
      <c r="M9" s="7">
        <f>'Margin 委托'!E9</f>
        <v>0</v>
      </c>
    </row>
    <row r="10" spans="1:13" x14ac:dyDescent="0.15">
      <c r="A10" s="2">
        <f t="shared" ca="1" si="0"/>
        <v>42969</v>
      </c>
      <c r="B10" s="7">
        <f>+'Margin 委托'!H10</f>
        <v>0</v>
      </c>
      <c r="C10" s="7" t="s">
        <v>49</v>
      </c>
      <c r="D10" t="s">
        <v>44</v>
      </c>
      <c r="E10" t="s">
        <v>45</v>
      </c>
      <c r="H10" s="7">
        <f>'Margin 委托'!J10</f>
        <v>0</v>
      </c>
      <c r="I10" s="7" t="str">
        <f>IF('Margin 委托'!B10="证券买入","B","S")</f>
        <v>S</v>
      </c>
      <c r="J10" t="s">
        <v>46</v>
      </c>
      <c r="K10" s="7">
        <f>IF(I10="S",-1*('Margin 委托'!F10),'Margin 委托'!F10)</f>
        <v>0</v>
      </c>
      <c r="L10">
        <v>1</v>
      </c>
      <c r="M10" s="7">
        <f>'Margin 委托'!E10</f>
        <v>0</v>
      </c>
    </row>
    <row r="11" spans="1:13" x14ac:dyDescent="0.15">
      <c r="A11" s="2">
        <f t="shared" ca="1" si="0"/>
        <v>42969</v>
      </c>
      <c r="B11" s="7">
        <f>+'Margin 委托'!H11</f>
        <v>0</v>
      </c>
      <c r="C11" s="7" t="s">
        <v>49</v>
      </c>
      <c r="D11" t="s">
        <v>44</v>
      </c>
      <c r="E11" t="s">
        <v>45</v>
      </c>
      <c r="H11" s="7">
        <f>'Margin 委托'!J11</f>
        <v>0</v>
      </c>
      <c r="I11" s="7" t="str">
        <f>IF('Margin 委托'!B11="证券买入","B","S")</f>
        <v>S</v>
      </c>
      <c r="J11" t="s">
        <v>46</v>
      </c>
      <c r="K11" s="7">
        <f>IF(I11="S",-1*('Margin 委托'!F11),'Margin 委托'!F11)</f>
        <v>0</v>
      </c>
      <c r="L11">
        <v>1</v>
      </c>
      <c r="M11" s="7">
        <f>'Margin 委托'!E11</f>
        <v>0</v>
      </c>
    </row>
    <row r="12" spans="1:13" x14ac:dyDescent="0.15">
      <c r="A12" s="2">
        <f t="shared" ca="1" si="0"/>
        <v>42969</v>
      </c>
      <c r="B12" s="7">
        <f>+'Margin 委托'!H12</f>
        <v>0</v>
      </c>
      <c r="C12" s="7" t="s">
        <v>49</v>
      </c>
      <c r="D12" t="s">
        <v>44</v>
      </c>
      <c r="E12" t="s">
        <v>45</v>
      </c>
      <c r="H12" s="7">
        <f>'Margin 委托'!J12</f>
        <v>0</v>
      </c>
      <c r="I12" s="7" t="str">
        <f>IF('Margin 委托'!B12="证券买入","B","S")</f>
        <v>S</v>
      </c>
      <c r="J12" t="s">
        <v>46</v>
      </c>
      <c r="K12" s="7">
        <f>IF(I12="S",-1*('Margin 委托'!F12),'Margin 委托'!F12)</f>
        <v>0</v>
      </c>
      <c r="L12">
        <v>1</v>
      </c>
      <c r="M12" s="7">
        <f>'Margin 委托'!E12</f>
        <v>0</v>
      </c>
    </row>
    <row r="13" spans="1:13" x14ac:dyDescent="0.15">
      <c r="A13" s="2">
        <f t="shared" ca="1" si="0"/>
        <v>42969</v>
      </c>
      <c r="B13" s="7">
        <f>+'Margin 委托'!H13</f>
        <v>0</v>
      </c>
      <c r="C13" s="7" t="s">
        <v>49</v>
      </c>
      <c r="D13" t="s">
        <v>44</v>
      </c>
      <c r="E13" t="s">
        <v>45</v>
      </c>
      <c r="H13" s="7">
        <f>'Margin 委托'!J13</f>
        <v>0</v>
      </c>
      <c r="I13" s="7" t="str">
        <f>IF('Margin 委托'!B13="证券买入","B","S")</f>
        <v>S</v>
      </c>
      <c r="J13" t="s">
        <v>46</v>
      </c>
      <c r="K13" s="7">
        <f>IF(I13="S",-1*('Margin 委托'!F13),'Margin 委托'!F13)</f>
        <v>0</v>
      </c>
      <c r="L13">
        <v>1</v>
      </c>
      <c r="M13" s="7">
        <f>'Margin 委托'!E13</f>
        <v>0</v>
      </c>
    </row>
    <row r="14" spans="1:13" x14ac:dyDescent="0.15">
      <c r="A14" s="2">
        <f t="shared" ca="1" si="0"/>
        <v>42969</v>
      </c>
      <c r="B14" s="7">
        <f>+'Margin 委托'!H14</f>
        <v>0</v>
      </c>
      <c r="C14" s="7" t="s">
        <v>49</v>
      </c>
      <c r="D14" t="s">
        <v>44</v>
      </c>
      <c r="E14" t="s">
        <v>45</v>
      </c>
      <c r="H14" s="7">
        <f>'Margin 委托'!J14</f>
        <v>0</v>
      </c>
      <c r="I14" s="7" t="str">
        <f>IF('Margin 委托'!B14="证券买入","B","S")</f>
        <v>S</v>
      </c>
      <c r="J14" t="s">
        <v>46</v>
      </c>
      <c r="K14" s="7">
        <f>IF(I14="S",-1*('Margin 委托'!F14),'Margin 委托'!F14)</f>
        <v>0</v>
      </c>
      <c r="L14">
        <v>1</v>
      </c>
      <c r="M14" s="7">
        <f>'Margin 委托'!E14</f>
        <v>0</v>
      </c>
    </row>
    <row r="15" spans="1:13" x14ac:dyDescent="0.15">
      <c r="A15" s="2">
        <f t="shared" ca="1" si="0"/>
        <v>42969</v>
      </c>
      <c r="B15" s="7">
        <f>+'Margin 委托'!H15</f>
        <v>0</v>
      </c>
      <c r="C15" s="7" t="s">
        <v>49</v>
      </c>
      <c r="D15" t="s">
        <v>44</v>
      </c>
      <c r="E15" t="s">
        <v>45</v>
      </c>
      <c r="H15" s="7">
        <f>'Margin 委托'!J15</f>
        <v>0</v>
      </c>
      <c r="I15" s="7" t="str">
        <f>IF('Margin 委托'!B15="证券买入","B","S")</f>
        <v>S</v>
      </c>
      <c r="J15" t="s">
        <v>46</v>
      </c>
      <c r="K15" s="7">
        <f>IF(I15="S",-1*('Margin 委托'!F15),'Margin 委托'!F15)</f>
        <v>0</v>
      </c>
      <c r="L15">
        <v>1</v>
      </c>
      <c r="M15" s="7">
        <f>'Margin 委托'!E15</f>
        <v>0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Margin 委托</vt:lpstr>
      <vt:lpstr>Margin main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2017-08-22T07:32:39Z</dcterms:modified>
</cp:coreProperties>
</file>