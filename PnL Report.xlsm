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10" windowWidth="16605" windowHeight="9105" activeTab="3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<sst xmlns="http://schemas.openxmlformats.org/spreadsheetml/2006/main" count="485" uniqueCount="95">
  <si>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</si>
  <si>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</si>
  <si>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</si>
  <si>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</si>
  <si>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</si>
  <si>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</si>
  <si>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</si>
  <si>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</si>
  <si>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</si>
  <si>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</si>
  <si>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</si>
  <si>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</si>
  <si>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</si>
  <si>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</si>
  <si>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</si>
  <si>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</si>
  <si>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</si>
  <si>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</si>
  <si>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</si>
  <si>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</si>
  <si>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</si>
  <si>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</si>
  <si>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</si>
  <si>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</si>
  <si>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</si>
  <si>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</si>
  <si>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</si>
  <si>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</si>
  <si>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</si>
  <si>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上汽集团</t>
  </si>
  <si>
    <t>600104</t>
  </si>
  <si>
    <t>格力电器</t>
  </si>
  <si>
    <t>000651</t>
  </si>
  <si>
    <t>东方证券</t>
  </si>
  <si>
    <t>600958</t>
  </si>
  <si>
    <t>贵州茅台</t>
  </si>
  <si>
    <t>600519</t>
  </si>
  <si>
    <t>保利地产</t>
  </si>
  <si>
    <t>600048</t>
  </si>
  <si>
    <t>中国建筑</t>
  </si>
  <si>
    <t>601668</t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</si>
  <si>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</si>
  <si>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</si>
  <si>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</si>
  <si>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</si>
  <si>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</si>
  <si>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</si>
  <si>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</si>
  <si>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</si>
  <si>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</si>
  <si>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</si>
  <si>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</si>
  <si>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</si>
  <si>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</si>
  <si>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</si>
  <si>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</si>
  <si>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</si>
  <si>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</si>
  <si>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</si>
  <si>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</si>
  <si>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</si>
  <si>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证券卖出</t>
  </si>
  <si>
    <t>14:25:34</t>
  </si>
  <si>
    <t>147566</t>
  </si>
  <si>
    <t>卖券还款</t>
  </si>
  <si>
    <t>14:26:58</t>
  </si>
  <si>
    <t>148694</t>
  </si>
  <si>
    <t>0604689138</t>
  </si>
  <si>
    <t>14:38:02</t>
  </si>
  <si>
    <t>155091</t>
  </si>
  <si>
    <t>卖出担保品</t>
  </si>
  <si>
    <t>14:38:14</t>
  </si>
  <si>
    <t>155196</t>
  </si>
  <si>
    <t>中国平安</t>
  </si>
  <si>
    <t>14:38:31</t>
  </si>
  <si>
    <t>155374</t>
  </si>
  <si>
    <t>601318</t>
  </si>
  <si>
    <t>海康威视</t>
  </si>
  <si>
    <t>14:38:41</t>
  </si>
  <si>
    <t>155467</t>
  </si>
  <si>
    <t>002415</t>
  </si>
  <si>
    <t>广汽集团</t>
  </si>
  <si>
    <t>14:38:52</t>
  </si>
  <si>
    <t>155586</t>
  </si>
  <si>
    <t>601238</t>
  </si>
  <si>
    <t>14:39:00</t>
  </si>
  <si>
    <t>155668</t>
  </si>
  <si>
    <t>招商银行</t>
  </si>
  <si>
    <t>14:39:07</t>
  </si>
  <si>
    <t>155747</t>
  </si>
  <si>
    <t>600036</t>
  </si>
  <si>
    <t>14:39:19</t>
  </si>
  <si>
    <t>155871</t>
  </si>
  <si>
    <t>14:45:32</t>
  </si>
  <si>
    <t>160396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</si>
</sst>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42951</v>
      </c>
      <c r="B2" s="5">
        <f>'20161118 当日委托查询'!H2</f>
        <v>0</v>
      </c>
      <c r="C2" s="7" t="s">
        <v>25</v>
      </c>
      <c r="D2" s="7" t="s">
        <v>26</v>
      </c>
      <c r="E2" s="7" t="s">
        <v>27</v>
      </c>
      <c r="F2" s="7"/>
      <c r="G2" s="7"/>
      <c r="H2" s="7">
        <f>'20161118 当日委托查询'!J2</f>
        <v>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42951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42951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42951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42951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42951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42951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42951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42951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42951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42951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42951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42951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42951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42951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42951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42951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42951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42951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42951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42951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42951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42951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42951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42951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42951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42951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42951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42951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42951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42951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42951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42951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42951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42951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42951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42951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42951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42951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42951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42951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42951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42951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42951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42951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42951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42951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42951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42951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42951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42951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42951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42951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42951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42951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42951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42951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42951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42951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42951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42951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42951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42951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42951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42951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42951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42951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42951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42951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42951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42951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42951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42951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42951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42951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42951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zoomScale="115" zoomScaleNormal="115" workbookViewId="0">
      <selection activeCell="E2" sqref="E2"/>
    </sheetView>
  </sheetViews>
  <sheetFormatPr defaultRowHeight="13.5" x14ac:dyDescent="0.15"/>
  <sheetData>
    <row r="1" spans="1:13" x14ac:dyDescent="0.1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</row>
    <row r="2" spans="1:13" x14ac:dyDescent="0.15">
      <c r="A2" t="s">
        <v>29</v>
      </c>
      <c r="B2" t="s">
        <v>61</v>
      </c>
      <c r="C2">
        <v>29.16</v>
      </c>
      <c r="D2">
        <v>12900</v>
      </c>
      <c r="E2">
        <v>29.16</v>
      </c>
      <c r="F2">
        <v>12900</v>
      </c>
      <c r="G2" t="s">
        <v>54</v>
      </c>
      <c r="H2" t="s">
        <v>62</v>
      </c>
      <c r="I2" t="s">
        <v>63</v>
      </c>
      <c r="J2" t="s">
        <v>30</v>
      </c>
      <c r="K2" t="s">
        <v>55</v>
      </c>
      <c r="L2" t="s">
        <v>64</v>
      </c>
      <c r="M2">
        <v>0</v>
      </c>
    </row>
    <row r="3" spans="1:13" x14ac:dyDescent="0.15">
      <c r="A3" t="s">
        <v>31</v>
      </c>
      <c r="B3" t="s">
        <v>61</v>
      </c>
      <c r="C3">
        <v>37.82</v>
      </c>
      <c r="D3">
        <v>8400</v>
      </c>
      <c r="E3">
        <v>37.82</v>
      </c>
      <c r="F3">
        <v>8400</v>
      </c>
      <c r="G3" t="s">
        <v>54</v>
      </c>
      <c r="H3" t="s">
        <v>65</v>
      </c>
      <c r="I3" t="s">
        <v>66</v>
      </c>
      <c r="J3" t="s">
        <v>32</v>
      </c>
      <c r="K3" t="s">
        <v>67</v>
      </c>
      <c r="L3" t="s">
        <v>64</v>
      </c>
      <c r="M3">
        <v>0</v>
      </c>
    </row>
    <row r="4" spans="1:13" x14ac:dyDescent="0.15">
      <c r="A4" t="s">
        <v>39</v>
      </c>
      <c r="B4" t="s">
        <v>61</v>
      </c>
      <c r="C4">
        <v>9.99</v>
      </c>
      <c r="D4">
        <v>15800</v>
      </c>
      <c r="E4">
        <v>9.99</v>
      </c>
      <c r="F4">
        <v>15800</v>
      </c>
      <c r="G4" t="s">
        <v>54</v>
      </c>
      <c r="H4" t="s">
        <v>68</v>
      </c>
      <c r="I4" t="s">
        <v>69</v>
      </c>
      <c r="J4" t="s">
        <v>40</v>
      </c>
      <c r="K4" t="s">
        <v>55</v>
      </c>
      <c r="L4" t="s">
        <v>70</v>
      </c>
      <c r="M4">
        <v>0</v>
      </c>
    </row>
    <row r="5" spans="1:13" x14ac:dyDescent="0.15">
      <c r="A5" t="s">
        <v>37</v>
      </c>
      <c r="B5" t="s">
        <v>61</v>
      </c>
      <c r="C5">
        <v>10.119999999999999</v>
      </c>
      <c r="D5">
        <v>12500</v>
      </c>
      <c r="E5">
        <v>10.119999999999999</v>
      </c>
      <c r="F5">
        <v>12500</v>
      </c>
      <c r="G5" t="s">
        <v>54</v>
      </c>
      <c r="H5" t="s">
        <v>71</v>
      </c>
      <c r="I5" t="s">
        <v>72</v>
      </c>
      <c r="J5" t="s">
        <v>38</v>
      </c>
      <c r="K5" t="s">
        <v>55</v>
      </c>
      <c r="L5" t="s">
        <v>70</v>
      </c>
      <c r="M5">
        <v>0</v>
      </c>
    </row>
    <row r="6" spans="1:13" x14ac:dyDescent="0.15">
      <c r="A6" t="s">
        <v>73</v>
      </c>
      <c r="B6" t="s">
        <v>61</v>
      </c>
      <c r="C6">
        <v>52</v>
      </c>
      <c r="D6">
        <v>2300</v>
      </c>
      <c r="E6">
        <v>52.012</v>
      </c>
      <c r="F6">
        <v>2300</v>
      </c>
      <c r="G6" t="s">
        <v>54</v>
      </c>
      <c r="H6" t="s">
        <v>74</v>
      </c>
      <c r="I6" t="s">
        <v>75</v>
      </c>
      <c r="J6" t="s">
        <v>76</v>
      </c>
      <c r="K6" t="s">
        <v>55</v>
      </c>
      <c r="L6" t="s">
        <v>70</v>
      </c>
      <c r="M6">
        <v>0</v>
      </c>
    </row>
    <row r="7" spans="1:13" x14ac:dyDescent="0.15">
      <c r="A7" t="s">
        <v>77</v>
      </c>
      <c r="B7" t="s">
        <v>61</v>
      </c>
      <c r="C7">
        <v>28.8</v>
      </c>
      <c r="D7">
        <v>2500</v>
      </c>
      <c r="E7">
        <v>28.8</v>
      </c>
      <c r="F7">
        <v>2500</v>
      </c>
      <c r="G7" t="s">
        <v>54</v>
      </c>
      <c r="H7" t="s">
        <v>78</v>
      </c>
      <c r="I7" t="s">
        <v>79</v>
      </c>
      <c r="J7" t="s">
        <v>80</v>
      </c>
      <c r="K7" t="s">
        <v>67</v>
      </c>
      <c r="L7" t="s">
        <v>70</v>
      </c>
      <c r="M7">
        <v>0</v>
      </c>
    </row>
    <row r="8" spans="1:13" x14ac:dyDescent="0.15">
      <c r="A8" t="s">
        <v>81</v>
      </c>
      <c r="B8" t="s">
        <v>61</v>
      </c>
      <c r="C8">
        <v>25.98</v>
      </c>
      <c r="D8">
        <v>2400</v>
      </c>
      <c r="E8">
        <v>25.98</v>
      </c>
      <c r="F8">
        <v>2400</v>
      </c>
      <c r="G8" t="s">
        <v>54</v>
      </c>
      <c r="H8" t="s">
        <v>82</v>
      </c>
      <c r="I8" t="s">
        <v>83</v>
      </c>
      <c r="J8" t="s">
        <v>84</v>
      </c>
      <c r="K8" t="s">
        <v>55</v>
      </c>
      <c r="L8" t="s">
        <v>70</v>
      </c>
      <c r="M8">
        <v>0</v>
      </c>
    </row>
    <row r="9" spans="1:13" x14ac:dyDescent="0.15">
      <c r="A9" t="s">
        <v>33</v>
      </c>
      <c r="B9" t="s">
        <v>61</v>
      </c>
      <c r="C9">
        <v>16.02</v>
      </c>
      <c r="D9">
        <v>5900</v>
      </c>
      <c r="E9">
        <v>16.02</v>
      </c>
      <c r="F9">
        <v>5900</v>
      </c>
      <c r="G9" t="s">
        <v>54</v>
      </c>
      <c r="H9" t="s">
        <v>85</v>
      </c>
      <c r="I9" t="s">
        <v>86</v>
      </c>
      <c r="J9" t="s">
        <v>34</v>
      </c>
      <c r="K9" t="s">
        <v>55</v>
      </c>
      <c r="L9" t="s">
        <v>70</v>
      </c>
      <c r="M9">
        <v>0</v>
      </c>
    </row>
    <row r="10" spans="1:13" x14ac:dyDescent="0.15">
      <c r="A10" t="s">
        <v>87</v>
      </c>
      <c r="B10" t="s">
        <v>61</v>
      </c>
      <c r="C10">
        <v>25.66</v>
      </c>
      <c r="D10">
        <v>5000</v>
      </c>
      <c r="E10">
        <v>25.66</v>
      </c>
      <c r="F10">
        <v>5000</v>
      </c>
      <c r="G10" t="s">
        <v>54</v>
      </c>
      <c r="H10" t="s">
        <v>88</v>
      </c>
      <c r="I10" t="s">
        <v>89</v>
      </c>
      <c r="J10" t="s">
        <v>90</v>
      </c>
      <c r="K10" t="s">
        <v>55</v>
      </c>
      <c r="L10" t="s">
        <v>70</v>
      </c>
      <c r="M10">
        <v>0</v>
      </c>
    </row>
    <row r="11" spans="1:13" x14ac:dyDescent="0.15">
      <c r="A11" t="s">
        <v>35</v>
      </c>
      <c r="B11" t="s">
        <v>61</v>
      </c>
      <c r="C11">
        <v>473.82</v>
      </c>
      <c r="D11">
        <v>400</v>
      </c>
      <c r="E11">
        <v>473.82</v>
      </c>
      <c r="F11">
        <v>400</v>
      </c>
      <c r="G11" t="s">
        <v>54</v>
      </c>
      <c r="H11" t="s">
        <v>91</v>
      </c>
      <c r="I11" t="s">
        <v>92</v>
      </c>
      <c r="J11" t="s">
        <v>36</v>
      </c>
      <c r="K11" t="s">
        <v>55</v>
      </c>
      <c r="L11" t="s">
        <v>70</v>
      </c>
      <c r="M11">
        <v>0</v>
      </c>
    </row>
    <row r="12" spans="1:13" x14ac:dyDescent="0.15">
      <c r="A12" t="s">
        <v>59</v>
      </c>
      <c r="B12" t="s">
        <v>61</v>
      </c>
      <c r="C12">
        <v>2.6779999999999999</v>
      </c>
      <c r="D12">
        <v>200000</v>
      </c>
      <c r="E12">
        <v>2.6779999999999999</v>
      </c>
      <c r="F12">
        <v>200000</v>
      </c>
      <c r="G12" t="s">
        <v>54</v>
      </c>
      <c r="H12" t="s">
        <v>93</v>
      </c>
      <c r="I12" t="s">
        <v>94</v>
      </c>
      <c r="J12" t="s">
        <v>60</v>
      </c>
      <c r="K12" t="s">
        <v>55</v>
      </c>
      <c r="L12" t="s">
        <v>70</v>
      </c>
      <c r="M12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5" sqref="J15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42951</v>
      </c>
      <c r="B2" t="str">
        <f>+'Margin 委托'!H2</f>
        <v>14:25:34</v>
      </c>
      <c r="C2" t="str">
        <f>IF('Margin 委托'!L2="融资开仓","Margin","Stock")</f>
        <v>Stock</v>
      </c>
      <c r="D2" t="s">
        <v>56</v>
      </c>
      <c r="E2" t="s">
        <v>57</v>
      </c>
      <c r="H2" t="str">
        <f>'Margin 委托'!J2</f>
        <v>600104</v>
      </c>
      <c r="I2" t="str">
        <f>IF('Margin 委托'!B2="证券买入","B","S")</f>
        <v>S</v>
      </c>
      <c r="J2" t="s">
        <v>58</v>
      </c>
      <c r="K2">
        <f>IF(I2="S",-1*('Margin 委托'!D2),'Margin 委托'!D2)</f>
        <v>-12900</v>
      </c>
      <c r="L2">
        <v>1</v>
      </c>
      <c r="M2">
        <f>'Margin 委托'!E2</f>
        <v>29.16</v>
      </c>
    </row>
    <row r="3" spans="1:13" x14ac:dyDescent="0.15">
      <c r="A3" s="2">
        <f t="shared" ca="1" si="0"/>
        <v>42951</v>
      </c>
      <c r="B3" s="7" t="str">
        <f>+'Margin 委托'!H3</f>
        <v>14:26:58</v>
      </c>
      <c r="C3" s="7" t="str">
        <f>IF('Margin 委托'!L3="融资开仓","Margin","Stock")</f>
        <v>Stock</v>
      </c>
      <c r="D3" t="s">
        <v>56</v>
      </c>
      <c r="E3" t="s">
        <v>57</v>
      </c>
      <c r="H3" s="7" t="str">
        <f>'Margin 委托'!J3</f>
        <v>000651</v>
      </c>
      <c r="I3" s="7" t="str">
        <f>IF('Margin 委托'!B3="证券买入","B","S")</f>
        <v>S</v>
      </c>
      <c r="J3" t="s">
        <v>58</v>
      </c>
      <c r="K3" s="7">
        <f>IF(I3="S",-1*('Margin 委托'!D3),'Margin 委托'!D3)</f>
        <v>-8400</v>
      </c>
      <c r="L3">
        <v>1</v>
      </c>
      <c r="M3" s="7">
        <f>'Margin 委托'!E3</f>
        <v>37.82</v>
      </c>
    </row>
    <row r="4" spans="1:13" x14ac:dyDescent="0.15">
      <c r="A4" s="2">
        <f t="shared" ca="1" si="0"/>
        <v>42951</v>
      </c>
      <c r="B4" s="7" t="str">
        <f>+'Margin 委托'!H4</f>
        <v>14:38:02</v>
      </c>
      <c r="C4" s="7" t="str">
        <f>IF('Margin 委托'!L4="融资开仓","Margin","Stock")</f>
        <v>Stock</v>
      </c>
      <c r="D4" t="s">
        <v>56</v>
      </c>
      <c r="E4" t="s">
        <v>57</v>
      </c>
      <c r="H4" s="7" t="str">
        <f>'Margin 委托'!J4</f>
        <v>601668</v>
      </c>
      <c r="I4" s="7" t="str">
        <f>IF('Margin 委托'!B4="证券买入","B","S")</f>
        <v>S</v>
      </c>
      <c r="J4" t="s">
        <v>58</v>
      </c>
      <c r="K4" s="7">
        <f>IF(I4="S",-1*('Margin 委托'!D4),'Margin 委托'!D4)</f>
        <v>-15800</v>
      </c>
      <c r="L4">
        <v>1</v>
      </c>
      <c r="M4" s="7">
        <f>'Margin 委托'!E4</f>
        <v>9.99</v>
      </c>
    </row>
    <row r="5" spans="1:13" x14ac:dyDescent="0.15">
      <c r="A5" s="2">
        <f t="shared" ca="1" si="0"/>
        <v>42951</v>
      </c>
      <c r="B5" s="7" t="str">
        <f>+'Margin 委托'!H5</f>
        <v>14:38:14</v>
      </c>
      <c r="C5" s="7" t="str">
        <f>IF('Margin 委托'!L5="融资开仓","Margin","Stock")</f>
        <v>Stock</v>
      </c>
      <c r="D5" t="s">
        <v>56</v>
      </c>
      <c r="E5" t="s">
        <v>57</v>
      </c>
      <c r="H5" s="7" t="str">
        <f>'Margin 委托'!J5</f>
        <v>600048</v>
      </c>
      <c r="I5" s="7" t="str">
        <f>IF('Margin 委托'!B5="证券买入","B","S")</f>
        <v>S</v>
      </c>
      <c r="J5" t="s">
        <v>58</v>
      </c>
      <c r="K5" s="7">
        <f>IF(I5="S",-1*('Margin 委托'!D5),'Margin 委托'!D5)</f>
        <v>-12500</v>
      </c>
      <c r="L5">
        <v>1</v>
      </c>
      <c r="M5" s="7">
        <f>'Margin 委托'!E5</f>
        <v>10.119999999999999</v>
      </c>
    </row>
    <row r="6" spans="1:13" x14ac:dyDescent="0.15">
      <c r="A6" s="2">
        <f t="shared" ca="1" si="0"/>
        <v>42951</v>
      </c>
      <c r="B6" s="7" t="str">
        <f>+'Margin 委托'!H6</f>
        <v>14:38:31</v>
      </c>
      <c r="C6" s="7" t="str">
        <f>IF('Margin 委托'!L6="融资开仓","Margin","Stock")</f>
        <v>Stock</v>
      </c>
      <c r="D6" t="s">
        <v>56</v>
      </c>
      <c r="E6" t="s">
        <v>57</v>
      </c>
      <c r="H6" s="7" t="str">
        <f>'Margin 委托'!J6</f>
        <v>601318</v>
      </c>
      <c r="I6" s="7" t="str">
        <f>IF('Margin 委托'!B6="证券买入","B","S")</f>
        <v>S</v>
      </c>
      <c r="J6" t="s">
        <v>58</v>
      </c>
      <c r="K6" s="7">
        <f>IF(I6="S",-1*('Margin 委托'!D6),'Margin 委托'!D6)</f>
        <v>-2300</v>
      </c>
      <c r="L6">
        <v>1</v>
      </c>
      <c r="M6" s="7">
        <f>'Margin 委托'!E6</f>
        <v>52.012</v>
      </c>
    </row>
    <row r="7" spans="1:13" x14ac:dyDescent="0.15">
      <c r="A7" s="2">
        <f t="shared" ca="1" si="0"/>
        <v>42951</v>
      </c>
      <c r="B7" s="7" t="str">
        <f>+'Margin 委托'!H7</f>
        <v>14:38:41</v>
      </c>
      <c r="C7" s="7" t="str">
        <f>IF('Margin 委托'!L7="融资开仓","Margin","Stock")</f>
        <v>Stock</v>
      </c>
      <c r="D7" t="s">
        <v>56</v>
      </c>
      <c r="E7" t="s">
        <v>57</v>
      </c>
      <c r="H7" s="7" t="str">
        <f>'Margin 委托'!J7</f>
        <v>002415</v>
      </c>
      <c r="I7" s="7" t="str">
        <f>IF('Margin 委托'!B7="证券买入","B","S")</f>
        <v>S</v>
      </c>
      <c r="J7" t="s">
        <v>58</v>
      </c>
      <c r="K7" s="7">
        <f>IF(I7="S",-1*('Margin 委托'!D7),'Margin 委托'!D7)</f>
        <v>-2500</v>
      </c>
      <c r="L7">
        <v>1</v>
      </c>
      <c r="M7" s="7">
        <f>'Margin 委托'!E7</f>
        <v>28.8</v>
      </c>
    </row>
    <row r="8" spans="1:13" x14ac:dyDescent="0.15">
      <c r="A8" s="2">
        <f t="shared" ca="1" si="0"/>
        <v>42951</v>
      </c>
      <c r="B8" s="7" t="str">
        <f>+'Margin 委托'!H8</f>
        <v>14:38:52</v>
      </c>
      <c r="C8" s="7" t="str">
        <f>IF('Margin 委托'!L8="融资开仓","Margin","Stock")</f>
        <v>Stock</v>
      </c>
      <c r="D8" t="s">
        <v>56</v>
      </c>
      <c r="E8" t="s">
        <v>57</v>
      </c>
      <c r="H8" s="7" t="str">
        <f>'Margin 委托'!J8</f>
        <v>601238</v>
      </c>
      <c r="I8" s="7" t="str">
        <f>IF('Margin 委托'!B8="证券买入","B","S")</f>
        <v>S</v>
      </c>
      <c r="J8" t="s">
        <v>58</v>
      </c>
      <c r="K8" s="7">
        <f>IF(I8="S",-1*('Margin 委托'!D8),'Margin 委托'!D8)</f>
        <v>-2400</v>
      </c>
      <c r="L8">
        <v>1</v>
      </c>
      <c r="M8" s="7">
        <f>'Margin 委托'!E8</f>
        <v>25.98</v>
      </c>
    </row>
    <row r="9" spans="1:13" x14ac:dyDescent="0.15">
      <c r="A9" s="2">
        <f t="shared" ca="1" si="0"/>
        <v>42951</v>
      </c>
      <c r="B9" s="7" t="str">
        <f>+'Margin 委托'!H9</f>
        <v>14:39:00</v>
      </c>
      <c r="C9" s="7" t="str">
        <f>IF('Margin 委托'!L9="融资开仓","Margin","Stock")</f>
        <v>Stock</v>
      </c>
      <c r="D9" t="s">
        <v>56</v>
      </c>
      <c r="E9" t="s">
        <v>57</v>
      </c>
      <c r="H9" s="7" t="str">
        <f>'Margin 委托'!J9</f>
        <v>600958</v>
      </c>
      <c r="I9" s="7" t="str">
        <f>IF('Margin 委托'!B9="证券买入","B","S")</f>
        <v>S</v>
      </c>
      <c r="J9" t="s">
        <v>58</v>
      </c>
      <c r="K9" s="7">
        <f>IF(I9="S",-1*('Margin 委托'!D9),'Margin 委托'!D9)</f>
        <v>-5900</v>
      </c>
      <c r="L9">
        <v>1</v>
      </c>
      <c r="M9" s="7">
        <f>'Margin 委托'!E9</f>
        <v>16.02</v>
      </c>
    </row>
    <row r="10" spans="1:13" x14ac:dyDescent="0.15">
      <c r="A10" s="2">
        <f t="shared" ca="1" si="0"/>
        <v>42951</v>
      </c>
      <c r="B10" s="7" t="str">
        <f>+'Margin 委托'!H10</f>
        <v>14:39:07</v>
      </c>
      <c r="C10" s="7" t="str">
        <f>IF('Margin 委托'!L10="融资开仓","Margin","Stock")</f>
        <v>Stock</v>
      </c>
      <c r="D10" t="s">
        <v>56</v>
      </c>
      <c r="E10" t="s">
        <v>57</v>
      </c>
      <c r="H10" s="7" t="str">
        <f>'Margin 委托'!J10</f>
        <v>600036</v>
      </c>
      <c r="I10" s="7" t="str">
        <f>IF('Margin 委托'!B10="证券买入","B","S")</f>
        <v>S</v>
      </c>
      <c r="J10" t="s">
        <v>58</v>
      </c>
      <c r="K10" s="7">
        <f>IF(I10="S",-1*('Margin 委托'!D10),'Margin 委托'!D10)</f>
        <v>-5000</v>
      </c>
      <c r="L10">
        <v>1</v>
      </c>
      <c r="M10" s="7">
        <f>'Margin 委托'!E10</f>
        <v>25.66</v>
      </c>
    </row>
    <row r="11" spans="1:13" x14ac:dyDescent="0.15">
      <c r="A11" s="2">
        <f t="shared" ca="1" si="0"/>
        <v>42951</v>
      </c>
      <c r="B11" s="7" t="str">
        <f>+'Margin 委托'!H11</f>
        <v>14:39:19</v>
      </c>
      <c r="C11" s="7" t="str">
        <f>IF('Margin 委托'!L11="融资开仓","Margin","Stock")</f>
        <v>Stock</v>
      </c>
      <c r="D11" t="s">
        <v>56</v>
      </c>
      <c r="E11" t="s">
        <v>57</v>
      </c>
      <c r="H11" s="7" t="str">
        <f>'Margin 委托'!J11</f>
        <v>600519</v>
      </c>
      <c r="I11" s="7" t="str">
        <f>IF('Margin 委托'!B11="证券买入","B","S")</f>
        <v>S</v>
      </c>
      <c r="J11" t="s">
        <v>58</v>
      </c>
      <c r="K11" s="7">
        <f>IF(I11="S",-1*('Margin 委托'!D11),'Margin 委托'!D11)</f>
        <v>-400</v>
      </c>
      <c r="L11">
        <v>1</v>
      </c>
      <c r="M11" s="7">
        <f>'Margin 委托'!E11</f>
        <v>473.82</v>
      </c>
    </row>
    <row r="12" spans="1:13" x14ac:dyDescent="0.15">
      <c r="A12" s="2">
        <f t="shared" ca="1" si="0"/>
        <v>42951</v>
      </c>
      <c r="B12" s="7" t="str">
        <f>+'Margin 委托'!H12</f>
        <v>14:45:32</v>
      </c>
      <c r="C12" s="7" t="str">
        <f>IF('Margin 委托'!L12="融资开仓","Margin","Stock")</f>
        <v>Stock</v>
      </c>
      <c r="D12" t="s">
        <v>56</v>
      </c>
      <c r="E12" t="s">
        <v>57</v>
      </c>
      <c r="H12" s="7" t="str">
        <f>'Margin 委托'!J12</f>
        <v>510050</v>
      </c>
      <c r="I12" s="7" t="str">
        <f>IF('Margin 委托'!B12="证券买入","B","S")</f>
        <v>S</v>
      </c>
      <c r="J12" t="s">
        <v>58</v>
      </c>
      <c r="K12" s="7">
        <f>IF(I12="S",-1*('Margin 委托'!D12),'Margin 委托'!D12)</f>
        <v>-200000</v>
      </c>
      <c r="L12">
        <v>1</v>
      </c>
      <c r="M12" s="7">
        <f>'Margin 委托'!E12</f>
        <v>2.6779999999999999</v>
      </c>
    </row>
    <row r="13" spans="1:13" x14ac:dyDescent="0.15">
      <c r="A13" s="2">
        <f t="shared" ca="1" si="0"/>
        <v>42951</v>
      </c>
      <c r="B13" s="7">
        <f>+'Margin 委托'!H13</f>
        <v>0</v>
      </c>
      <c r="C13" s="7" t="str">
        <f>IF('Margin 委托'!L13="融资开仓","Margin","Stock")</f>
        <v>Stock</v>
      </c>
      <c r="D13" t="s">
        <v>56</v>
      </c>
      <c r="E13" t="s">
        <v>57</v>
      </c>
      <c r="H13" s="7">
        <f>'Margin 委托'!J13</f>
        <v>0</v>
      </c>
      <c r="I13" s="7" t="str">
        <f>IF('Margin 委托'!B13="证券买入","B","S")</f>
        <v>S</v>
      </c>
      <c r="J13" t="s">
        <v>58</v>
      </c>
      <c r="K13" s="7">
        <f>IF(I13="S",-1*('Margin 委托'!D13),'Margin 委托'!D13)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42951</v>
      </c>
      <c r="B14" s="7">
        <f>+'Margin 委托'!H14</f>
        <v>0</v>
      </c>
      <c r="C14" s="7" t="str">
        <f>IF('Margin 委托'!L14="融资开仓","Margin","Stock")</f>
        <v>Stock</v>
      </c>
      <c r="D14" t="s">
        <v>56</v>
      </c>
      <c r="E14" t="s">
        <v>57</v>
      </c>
      <c r="H14" s="7">
        <f>'Margin 委托'!J14</f>
        <v>0</v>
      </c>
      <c r="I14" s="7" t="str">
        <f>IF('Margin 委托'!B14="证券买入","B","S")</f>
        <v>S</v>
      </c>
      <c r="J14" t="s">
        <v>58</v>
      </c>
      <c r="K14" s="7">
        <f>IF(I14="S",-1*('Margin 委托'!D14),'Margin 委托'!D14)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42951</v>
      </c>
      <c r="B15" s="7">
        <f>+'Margin 委托'!H15</f>
        <v>0</v>
      </c>
      <c r="C15" s="7" t="str">
        <f>IF('Margin 委托'!L15="融资开仓","Margin","Stock")</f>
        <v>Stock</v>
      </c>
      <c r="D15" t="s">
        <v>56</v>
      </c>
      <c r="E15" t="s">
        <v>57</v>
      </c>
      <c r="H15" s="7">
        <f>'Margin 委托'!J15</f>
        <v>0</v>
      </c>
      <c r="I15" s="7" t="str">
        <f>IF('Margin 委托'!B15="证券买入","B","S")</f>
        <v>S</v>
      </c>
      <c r="J15" t="s">
        <v>58</v>
      </c>
      <c r="K15" s="7">
        <f>IF(I15="S",-1*('Margin 委托'!D15),'Margin 委托'!D15)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2017-08-04T11:07:26Z</dcterms:modified>
</cp:coreProperties>
</file>