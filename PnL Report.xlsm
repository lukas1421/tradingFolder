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50" windowWidth="16605" windowHeight="9165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<sst xmlns="http://schemas.openxmlformats.org/spreadsheetml/2006/main" count="359" uniqueCount="45">
  <si>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</si>
  <si>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</si>
  <si>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</si>
  <si>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</si>
  <si>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</si>
  <si>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</si>
  <si>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</si>
  <si>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</si>
  <si>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</si>
  <si>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</si>
  <si>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</si>
  <si>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</si>
  <si>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</si>
  <si>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</si>
  <si>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</si>
  <si>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</si>
  <si>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</si>
  <si>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</si>
  <si>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</si>
  <si>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</si>
  <si>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</si>
  <si>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</si>
  <si>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</si>
  <si>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</si>
  <si>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</si>
  <si>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</si>
  <si>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</si>
  <si>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</si>
  <si>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</si>
  <si>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</si>
  <si>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</si>
  <si>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</si>
  <si>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</si>
  <si>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中国平安</t>
  </si>
  <si>
    <t>买入</t>
  </si>
  <si>
    <t>09:33:13</t>
  </si>
  <si>
    <t>1865</t>
  </si>
  <si>
    <t>601318</t>
  </si>
  <si>
    <t>0000994</t>
  </si>
  <si>
    <t>09:31:12</t>
  </si>
  <si>
    <t>1861</t>
  </si>
  <si>
    <t>0000709</t>
  </si>
  <si>
    <t>09:31:02</t>
  </si>
  <si>
    <t>1858</t>
  </si>
  <si>
    <t>0000685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</si>
</sst>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tabSelected="1" zoomScale="130" zoomScaleNormal="130" workbookViewId="0">
      <pane ySplit="1" topLeftCell="A2" activePane="bottomLeft" state="frozen"/>
      <selection pane="bottomLeft" activeCell="M15" sqref="M15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33</v>
      </c>
      <c r="B2" s="7" t="s">
        <v>34</v>
      </c>
      <c r="C2" s="7">
        <v>52.99</v>
      </c>
      <c r="D2" s="7">
        <v>700</v>
      </c>
      <c r="E2" s="7">
        <v>52.99</v>
      </c>
      <c r="F2" s="7">
        <v>700</v>
      </c>
      <c r="G2" s="7" t="s">
        <v>29</v>
      </c>
      <c r="H2" s="7" t="s">
        <v>35</v>
      </c>
      <c r="I2" s="7" t="s">
        <v>36</v>
      </c>
      <c r="J2" s="7" t="s">
        <v>37</v>
      </c>
      <c r="K2" s="7" t="s">
        <v>30</v>
      </c>
      <c r="L2" s="7" t="s">
        <v>31</v>
      </c>
      <c r="M2" s="7" t="s">
        <v>32</v>
      </c>
      <c r="N2" s="7" t="s">
        <v>38</v>
      </c>
      <c r="O2" s="4"/>
    </row>
    <row r="3" spans="1:15" x14ac:dyDescent="0.15">
      <c r="A3" s="7" t="s">
        <v>33</v>
      </c>
      <c r="B3" s="7" t="s">
        <v>34</v>
      </c>
      <c r="C3" s="7">
        <v>53.27</v>
      </c>
      <c r="D3" s="7">
        <v>700</v>
      </c>
      <c r="E3" s="7">
        <v>53.24</v>
      </c>
      <c r="F3" s="7">
        <v>700</v>
      </c>
      <c r="G3" s="7" t="s">
        <v>29</v>
      </c>
      <c r="H3" s="7" t="s">
        <v>39</v>
      </c>
      <c r="I3" s="7" t="s">
        <v>40</v>
      </c>
      <c r="J3" s="7" t="s">
        <v>37</v>
      </c>
      <c r="K3" s="7" t="s">
        <v>30</v>
      </c>
      <c r="L3" s="7" t="s">
        <v>31</v>
      </c>
      <c r="M3" s="7" t="s">
        <v>32</v>
      </c>
      <c r="N3" s="7" t="s">
        <v>41</v>
      </c>
      <c r="O3" s="4"/>
    </row>
    <row r="4" spans="1:15" x14ac:dyDescent="0.15">
      <c r="A4" s="7" t="s">
        <v>33</v>
      </c>
      <c r="B4" s="7" t="s">
        <v>34</v>
      </c>
      <c r="C4" s="7">
        <v>53.25</v>
      </c>
      <c r="D4" s="7">
        <v>700</v>
      </c>
      <c r="E4" s="7">
        <v>53.25</v>
      </c>
      <c r="F4" s="7">
        <v>700</v>
      </c>
      <c r="G4" s="7" t="s">
        <v>29</v>
      </c>
      <c r="H4" s="7" t="s">
        <v>42</v>
      </c>
      <c r="I4" s="7" t="s">
        <v>43</v>
      </c>
      <c r="J4" s="7" t="s">
        <v>37</v>
      </c>
      <c r="K4" s="7" t="s">
        <v>30</v>
      </c>
      <c r="L4" s="7" t="s">
        <v>31</v>
      </c>
      <c r="M4" s="7" t="s">
        <v>32</v>
      </c>
      <c r="N4" s="7" t="s">
        <v>44</v>
      </c>
    </row>
    <row r="5" spans="1:15" x14ac:dyDescent="0.1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5" x14ac:dyDescent="0.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5" x14ac:dyDescent="0.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M4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42937</v>
      </c>
      <c r="B2" s="5" t="str">
        <f>'20161118 当日委托查询'!H2</f>
        <v>09:33:13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601318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700</v>
      </c>
      <c r="L2" s="7">
        <v>1</v>
      </c>
      <c r="M2" s="7">
        <f>'20161118 当日委托查询'!E2</f>
        <v>52.99</v>
      </c>
    </row>
    <row r="3" spans="1:25" x14ac:dyDescent="0.15">
      <c r="A3" s="2">
        <f t="shared" ca="1" si="0"/>
        <v>42937</v>
      </c>
      <c r="B3" s="5" t="str">
        <f>'20161118 当日委托查询'!H3</f>
        <v>09:31:12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601318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700</v>
      </c>
      <c r="L3" s="7">
        <v>1</v>
      </c>
      <c r="M3" s="7">
        <f>'20161118 当日委托查询'!E3</f>
        <v>53.24</v>
      </c>
    </row>
    <row r="4" spans="1:25" x14ac:dyDescent="0.15">
      <c r="A4" s="2">
        <f t="shared" ca="1" si="0"/>
        <v>42937</v>
      </c>
      <c r="B4" s="5" t="str">
        <f>'20161118 当日委托查询'!H4</f>
        <v>09:31:02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601318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700</v>
      </c>
      <c r="L4" s="7">
        <v>1</v>
      </c>
      <c r="M4" s="7">
        <f>'20161118 当日委托查询'!E4</f>
        <v>53.25</v>
      </c>
    </row>
    <row r="5" spans="1:25" x14ac:dyDescent="0.15">
      <c r="A5" s="2">
        <f t="shared" ca="1" si="0"/>
        <v>42937</v>
      </c>
      <c r="B5" s="5">
        <f>'20161118 当日委托查询'!H5</f>
        <v>0</v>
      </c>
      <c r="C5" s="7" t="s">
        <v>25</v>
      </c>
      <c r="D5" s="7" t="s">
        <v>26</v>
      </c>
      <c r="E5" s="7" t="s">
        <v>27</v>
      </c>
      <c r="F5" s="7"/>
      <c r="G5" s="7"/>
      <c r="H5" s="7">
        <f>'20161118 当日委托查询'!J5</f>
        <v>0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0</v>
      </c>
      <c r="L5" s="7">
        <v>1</v>
      </c>
      <c r="M5" s="7">
        <f>'20161118 当日委托查询'!E5</f>
        <v>0</v>
      </c>
    </row>
    <row r="6" spans="1:25" x14ac:dyDescent="0.15">
      <c r="A6" s="2">
        <f t="shared" ca="1" si="0"/>
        <v>42937</v>
      </c>
      <c r="B6" s="5">
        <f>'20161118 当日委托查询'!H6</f>
        <v>0</v>
      </c>
      <c r="C6" s="7" t="s">
        <v>25</v>
      </c>
      <c r="D6" s="7" t="s">
        <v>26</v>
      </c>
      <c r="E6" s="7" t="s">
        <v>27</v>
      </c>
      <c r="F6" s="7"/>
      <c r="G6" s="7"/>
      <c r="H6" s="7">
        <f>'20161118 当日委托查询'!J6</f>
        <v>0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0</v>
      </c>
      <c r="L6" s="7">
        <v>1</v>
      </c>
      <c r="M6" s="7">
        <f>'20161118 当日委托查询'!E6</f>
        <v>0</v>
      </c>
    </row>
    <row r="7" spans="1:25" x14ac:dyDescent="0.15">
      <c r="A7" s="2">
        <f t="shared" ca="1" si="0"/>
        <v>42937</v>
      </c>
      <c r="B7" s="5">
        <f>'20161118 当日委托查询'!H7</f>
        <v>0</v>
      </c>
      <c r="C7" s="7" t="s">
        <v>25</v>
      </c>
      <c r="D7" s="7" t="s">
        <v>26</v>
      </c>
      <c r="E7" s="7" t="s">
        <v>27</v>
      </c>
      <c r="F7" s="7"/>
      <c r="G7" s="7"/>
      <c r="H7" s="7">
        <f>'20161118 当日委托查询'!J7</f>
        <v>0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0</v>
      </c>
      <c r="L7" s="7">
        <v>1</v>
      </c>
      <c r="M7" s="7">
        <f>'20161118 当日委托查询'!E7</f>
        <v>0</v>
      </c>
    </row>
    <row r="8" spans="1:25" x14ac:dyDescent="0.15">
      <c r="A8" s="2">
        <f t="shared" ca="1" si="0"/>
        <v>42937</v>
      </c>
      <c r="B8" s="5">
        <f>'20161118 当日委托查询'!H8</f>
        <v>0</v>
      </c>
      <c r="C8" s="7" t="s">
        <v>25</v>
      </c>
      <c r="D8" s="7" t="s">
        <v>26</v>
      </c>
      <c r="E8" s="7" t="s">
        <v>27</v>
      </c>
      <c r="F8" s="7"/>
      <c r="G8" s="7"/>
      <c r="H8" s="7">
        <f>'20161118 当日委托查询'!J8</f>
        <v>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0</v>
      </c>
      <c r="L8" s="7">
        <v>1</v>
      </c>
      <c r="M8" s="7">
        <f>'20161118 当日委托查询'!E8</f>
        <v>0</v>
      </c>
    </row>
    <row r="9" spans="1:25" x14ac:dyDescent="0.15">
      <c r="A9" s="2">
        <f t="shared" ca="1" si="0"/>
        <v>42937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42937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42937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42937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42937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42937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42937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42937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42937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42937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42937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42937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42937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42937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42937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42937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42937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42937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42937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42937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42937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42937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42937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42937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42937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42937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42937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42937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42937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42937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42937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42937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42937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42937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42937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42937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42937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42937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42937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42937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42937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42937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42937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42937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42937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42937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42937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42937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42937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42937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42937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42937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42937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42937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42937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42937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42937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42937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42937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42937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42937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42937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42937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42937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42937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42937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42937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42937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42937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2017-07-21T09:34:49Z</dcterms:modified>
</cp:coreProperties>
</file>