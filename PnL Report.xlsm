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870" windowWidth="16605" windowHeight="9045" activeTab="1"/>
  </bookViews>
  <sheets>
    <sheet name="20161118 当日委托查询" sheetId="1" r:id="rId1"/>
    <sheet name="Main" sheetId="4" r:id="rId2"/>
    <sheet name="Margin 委托" sheetId="2" r:id="rId3"/>
    <sheet name="Margin main" sheetId="3" r:id="rId4"/>
  </sheets>
  <definedNames>
    <definedName name="_xlnm._FilterDatabase" localSheetId="0" hidden="1">'20161118 当日委托查询'!$A$1:$O$1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2" i="3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2" i="3"/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2" i="3"/>
  <c r="I3" i="3"/>
  <c r="K3" i="3" s="1"/>
  <c r="I4" i="3"/>
  <c r="K4" i="3" s="1"/>
  <c r="I5" i="3"/>
  <c r="K5" i="3" s="1"/>
  <c r="I6" i="3"/>
  <c r="K6" i="3" s="1"/>
  <c r="I7" i="3"/>
  <c r="K7" i="3" s="1"/>
  <c r="I8" i="3"/>
  <c r="K8" i="3" s="1"/>
  <c r="I9" i="3"/>
  <c r="K9" i="3" s="1"/>
  <c r="I10" i="3"/>
  <c r="K10" i="3" s="1"/>
  <c r="I11" i="3"/>
  <c r="K11" i="3" s="1"/>
  <c r="I12" i="3"/>
  <c r="K12" i="3" s="1"/>
  <c r="I13" i="3"/>
  <c r="K13" i="3" s="1"/>
  <c r="I14" i="3"/>
  <c r="K14" i="3" s="1"/>
  <c r="I15" i="3"/>
  <c r="K15" i="3" s="1"/>
  <c r="I2" i="3"/>
  <c r="K2" i="3" s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2" i="3"/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/>
  <c r="M30" i="4"/>
  <c r="A31" i="4"/>
  <c r="B31" i="4"/>
  <c r="H31" i="4"/>
  <c r="I31" i="4"/>
  <c r="K31" i="4" s="1"/>
  <c r="M31" i="4"/>
  <c r="A32" i="4"/>
  <c r="B32" i="4"/>
  <c r="H32" i="4"/>
  <c r="I32" i="4"/>
  <c r="K32" i="4"/>
  <c r="M32" i="4"/>
  <c r="A33" i="4"/>
  <c r="B33" i="4"/>
  <c r="H33" i="4"/>
  <c r="I33" i="4"/>
  <c r="K33" i="4" s="1"/>
  <c r="M33" i="4"/>
  <c r="A34" i="4"/>
  <c r="B34" i="4"/>
  <c r="H34" i="4"/>
  <c r="I34" i="4"/>
  <c r="K34" i="4"/>
  <c r="M34" i="4"/>
  <c r="A35" i="4"/>
  <c r="B35" i="4"/>
  <c r="H35" i="4"/>
  <c r="I35" i="4"/>
  <c r="K35" i="4" s="1"/>
  <c r="M35" i="4"/>
  <c r="A36" i="4"/>
  <c r="B36" i="4"/>
  <c r="H36" i="4"/>
  <c r="I36" i="4"/>
  <c r="K36" i="4"/>
  <c r="M36" i="4"/>
  <c r="A37" i="4"/>
  <c r="B37" i="4"/>
  <c r="H37" i="4"/>
  <c r="I37" i="4"/>
  <c r="K37" i="4" s="1"/>
  <c r="M37" i="4"/>
  <c r="A38" i="4"/>
  <c r="B38" i="4"/>
  <c r="H38" i="4"/>
  <c r="I38" i="4"/>
  <c r="K38" i="4"/>
  <c r="M38" i="4"/>
  <c r="A39" i="4"/>
  <c r="B39" i="4"/>
  <c r="H39" i="4"/>
  <c r="I39" i="4"/>
  <c r="K39" i="4" s="1"/>
  <c r="M39" i="4"/>
  <c r="A40" i="4"/>
  <c r="B40" i="4"/>
  <c r="H40" i="4"/>
  <c r="I40" i="4"/>
  <c r="K40" i="4"/>
  <c r="M40" i="4"/>
  <c r="A41" i="4"/>
  <c r="B41" i="4"/>
  <c r="H41" i="4"/>
  <c r="I41" i="4"/>
  <c r="K41" i="4" s="1"/>
  <c r="M41" i="4"/>
  <c r="A42" i="4"/>
  <c r="B42" i="4"/>
  <c r="H42" i="4"/>
  <c r="I42" i="4"/>
  <c r="K42" i="4"/>
  <c r="M42" i="4"/>
  <c r="A43" i="4"/>
  <c r="B43" i="4"/>
  <c r="H43" i="4"/>
  <c r="I43" i="4"/>
  <c r="K43" i="4" s="1"/>
  <c r="M43" i="4"/>
  <c r="A44" i="4"/>
  <c r="B44" i="4"/>
  <c r="H44" i="4"/>
  <c r="I44" i="4"/>
  <c r="K44" i="4"/>
  <c r="M44" i="4"/>
  <c r="A45" i="4"/>
  <c r="B45" i="4"/>
  <c r="H45" i="4"/>
  <c r="I45" i="4"/>
  <c r="K45" i="4" s="1"/>
  <c r="M45" i="4"/>
  <c r="A46" i="4"/>
  <c r="B46" i="4"/>
  <c r="H46" i="4"/>
  <c r="I46" i="4"/>
  <c r="K46" i="4"/>
  <c r="M46" i="4"/>
  <c r="A47" i="4"/>
  <c r="B47" i="4"/>
  <c r="H47" i="4"/>
  <c r="I47" i="4"/>
  <c r="K47" i="4" s="1"/>
  <c r="M47" i="4"/>
  <c r="A48" i="4"/>
  <c r="B48" i="4"/>
  <c r="H48" i="4"/>
  <c r="I48" i="4"/>
  <c r="K48" i="4"/>
  <c r="M48" i="4"/>
  <c r="A49" i="4"/>
  <c r="B49" i="4"/>
  <c r="H49" i="4"/>
  <c r="I49" i="4"/>
  <c r="K49" i="4" s="1"/>
  <c r="M49" i="4"/>
  <c r="A50" i="4"/>
  <c r="B50" i="4"/>
  <c r="H50" i="4"/>
  <c r="I50" i="4"/>
  <c r="K50" i="4"/>
  <c r="M50" i="4"/>
  <c r="A51" i="4"/>
  <c r="B51" i="4"/>
  <c r="H51" i="4"/>
  <c r="I51" i="4"/>
  <c r="K51" i="4" s="1"/>
  <c r="M51" i="4"/>
  <c r="A52" i="4"/>
  <c r="B52" i="4"/>
  <c r="H52" i="4"/>
  <c r="I52" i="4"/>
  <c r="K52" i="4"/>
  <c r="M52" i="4"/>
  <c r="A53" i="4"/>
  <c r="B53" i="4"/>
  <c r="H53" i="4"/>
  <c r="I53" i="4"/>
  <c r="K53" i="4" s="1"/>
  <c r="M53" i="4"/>
  <c r="A54" i="4"/>
  <c r="B54" i="4"/>
  <c r="H54" i="4"/>
  <c r="I54" i="4"/>
  <c r="K54" i="4"/>
  <c r="M54" i="4"/>
  <c r="A55" i="4"/>
  <c r="B55" i="4"/>
  <c r="H55" i="4"/>
  <c r="I55" i="4"/>
  <c r="K55" i="4" s="1"/>
  <c r="M55" i="4"/>
  <c r="A56" i="4"/>
  <c r="B56" i="4"/>
  <c r="H56" i="4"/>
  <c r="I56" i="4"/>
  <c r="K56" i="4"/>
  <c r="M56" i="4"/>
  <c r="A57" i="4"/>
  <c r="B57" i="4"/>
  <c r="H57" i="4"/>
  <c r="I57" i="4"/>
  <c r="K57" i="4" s="1"/>
  <c r="M57" i="4"/>
  <c r="A58" i="4"/>
  <c r="B58" i="4"/>
  <c r="H58" i="4"/>
  <c r="I58" i="4"/>
  <c r="K58" i="4"/>
  <c r="M58" i="4"/>
  <c r="A59" i="4"/>
  <c r="B59" i="4"/>
  <c r="H59" i="4"/>
  <c r="I59" i="4"/>
  <c r="K59" i="4" s="1"/>
  <c r="M59" i="4"/>
  <c r="A60" i="4"/>
  <c r="B60" i="4"/>
  <c r="H60" i="4"/>
  <c r="I60" i="4"/>
  <c r="K60" i="4"/>
  <c r="M60" i="4"/>
  <c r="A61" i="4"/>
  <c r="B61" i="4"/>
  <c r="H61" i="4"/>
  <c r="I61" i="4"/>
  <c r="K61" i="4" s="1"/>
  <c r="M61" i="4"/>
  <c r="A62" i="4"/>
  <c r="B62" i="4"/>
  <c r="H62" i="4"/>
  <c r="I62" i="4"/>
  <c r="K62" i="4"/>
  <c r="M62" i="4"/>
  <c r="A63" i="4"/>
  <c r="B63" i="4"/>
  <c r="H63" i="4"/>
  <c r="I63" i="4"/>
  <c r="K63" i="4" s="1"/>
  <c r="M63" i="4"/>
  <c r="A64" i="4"/>
  <c r="B64" i="4"/>
  <c r="H64" i="4"/>
  <c r="I64" i="4"/>
  <c r="K64" i="4"/>
  <c r="M64" i="4"/>
  <c r="A65" i="4"/>
  <c r="B65" i="4"/>
  <c r="H65" i="4"/>
  <c r="I65" i="4"/>
  <c r="K65" i="4" s="1"/>
  <c r="M65" i="4"/>
  <c r="A66" i="4"/>
  <c r="B66" i="4"/>
  <c r="H66" i="4"/>
  <c r="I66" i="4"/>
  <c r="K66" i="4"/>
  <c r="M66" i="4"/>
  <c r="A67" i="4"/>
  <c r="B67" i="4"/>
  <c r="H67" i="4"/>
  <c r="I67" i="4"/>
  <c r="K67" i="4" s="1"/>
  <c r="M67" i="4"/>
  <c r="A68" i="4"/>
  <c r="B68" i="4"/>
  <c r="H68" i="4"/>
  <c r="I68" i="4"/>
  <c r="K68" i="4"/>
  <c r="M68" i="4"/>
  <c r="A69" i="4"/>
  <c r="B69" i="4"/>
  <c r="H69" i="4"/>
  <c r="I69" i="4"/>
  <c r="K69" i="4" s="1"/>
  <c r="M69" i="4"/>
  <c r="A70" i="4"/>
  <c r="B70" i="4"/>
  <c r="H70" i="4"/>
  <c r="I70" i="4"/>
  <c r="K70" i="4"/>
  <c r="M70" i="4"/>
  <c r="A71" i="4"/>
  <c r="B71" i="4"/>
  <c r="H71" i="4"/>
  <c r="I71" i="4"/>
  <c r="K71" i="4" s="1"/>
  <c r="M71" i="4"/>
  <c r="A72" i="4"/>
  <c r="B72" i="4"/>
  <c r="H72" i="4"/>
  <c r="I72" i="4"/>
  <c r="K72" i="4"/>
  <c r="M72" i="4"/>
  <c r="A73" i="4"/>
  <c r="B73" i="4"/>
  <c r="H73" i="4"/>
  <c r="I73" i="4"/>
  <c r="K73" i="4" s="1"/>
  <c r="M73" i="4"/>
  <c r="A74" i="4"/>
  <c r="B74" i="4"/>
  <c r="H74" i="4"/>
  <c r="I74" i="4"/>
  <c r="K74" i="4"/>
  <c r="M74" i="4"/>
  <c r="A75" i="4"/>
  <c r="B75" i="4"/>
  <c r="H75" i="4"/>
  <c r="I75" i="4"/>
  <c r="K75" i="4" s="1"/>
  <c r="M75" i="4"/>
  <c r="A76" i="4"/>
  <c r="B76" i="4"/>
  <c r="H76" i="4"/>
  <c r="I76" i="4"/>
  <c r="K76" i="4"/>
  <c r="M76" i="4"/>
  <c r="A77" i="4"/>
  <c r="B77" i="4"/>
  <c r="H77" i="4"/>
  <c r="I77" i="4"/>
  <c r="K77" i="4" s="1"/>
  <c r="M77" i="4"/>
  <c r="B2" i="4" l="1"/>
  <c r="O44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<sst xmlns="http://schemas.openxmlformats.org/spreadsheetml/2006/main" count="437" uniqueCount="66">
  <si>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</si>
  <si>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</si>
  <si>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</si>
  <si>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</si>
  <si>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</si>
  <si>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</si>
  <si>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</si>
  <si>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</si>
  <si>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</si>
  <si>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</si>
  <si>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</si>
  <si>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</si>
  <si>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</si>
  <si>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</si>
  <si>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</si>
  <si>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</si>
  <si>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</si>
  <si>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</si>
  <si>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</si>
  <si>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</si>
  <si>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</si>
  <si>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</si>
  <si>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</si>
  <si>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</si>
  <si>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</si>
  <si>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</si>
  <si>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</si>
  <si>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</si>
  <si>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</si>
  <si>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证券名称</t>
  </si>
  <si>
    <t>买卖标志</t>
  </si>
  <si>
    <t>委托价格</t>
  </si>
  <si>
    <t>委托数量</t>
  </si>
  <si>
    <t>成交价格</t>
  </si>
  <si>
    <t>成交数量</t>
  </si>
  <si>
    <t>状态说明</t>
  </si>
  <si>
    <t>委托时间</t>
  </si>
  <si>
    <t>委托编号</t>
  </si>
  <si>
    <t>证券代码</t>
  </si>
  <si>
    <t>股东代码</t>
  </si>
  <si>
    <t>备注</t>
  </si>
  <si>
    <t>撤单数量</t>
  </si>
  <si>
    <t>已成</t>
  </si>
  <si>
    <t>E046935023</t>
  </si>
  <si>
    <t>招商</t>
  </si>
  <si>
    <t>CNY</t>
  </si>
  <si>
    <t>O</t>
  </si>
  <si>
    <t>50ETF</t>
  </si>
  <si>
    <t>510050</t>
  </si>
  <si>
    <t>Margin</t>
    <phoneticPr fontId="18" type="noConversion"/>
  </si>
  <si>
    <t>证券卖出</t>
  </si>
  <si>
    <t>13:03:07</t>
  </si>
  <si>
    <t>118304</t>
  </si>
  <si>
    <t>卖出担保品</t>
  </si>
  <si>
    <t>13:13:38</t>
  </si>
  <si>
    <t>124550</t>
  </si>
  <si>
    <t>已成交</t>
  </si>
  <si>
    <t>限价</t>
  </si>
  <si>
    <t>网上委托</t>
  </si>
  <si>
    <t>买入</t>
  </si>
  <si>
    <t>A153608419</t>
  </si>
  <si>
    <t>长江电力</t>
  </si>
  <si>
    <t>09:39:51</t>
  </si>
  <si>
    <t>316</t>
  </si>
  <si>
    <t>600900</t>
  </si>
  <si>
    <t>0001274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</si>
</sst>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4"/>
  <sheetViews>
    <sheetView zoomScale="130" zoomScaleNormal="130" workbookViewId="0">
      <pane ySplit="1" topLeftCell="A2" activePane="bottomLeft" state="frozen"/>
      <selection pane="bottomLeft" activeCell="A2" sqref="A2:XFD2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61</v>
      </c>
      <c r="B2" s="7" t="s">
        <v>59</v>
      </c>
      <c r="C2" s="7">
        <v>15.05</v>
      </c>
      <c r="D2" s="7">
        <v>2600</v>
      </c>
      <c r="E2" s="7">
        <v>15.05</v>
      </c>
      <c r="F2" s="7">
        <v>2600</v>
      </c>
      <c r="G2" s="7" t="s">
        <v>56</v>
      </c>
      <c r="H2" s="7" t="s">
        <v>62</v>
      </c>
      <c r="I2" s="7" t="s">
        <v>63</v>
      </c>
      <c r="J2" s="7" t="s">
        <v>64</v>
      </c>
      <c r="K2" s="7" t="s">
        <v>60</v>
      </c>
      <c r="L2" s="7" t="s">
        <v>57</v>
      </c>
      <c r="M2" s="7" t="s">
        <v>58</v>
      </c>
      <c r="N2" s="7" t="s">
        <v>65</v>
      </c>
      <c r="O2" s="4"/>
    </row>
    <row r="3" spans="1:15" x14ac:dyDescent="0.1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4"/>
    </row>
    <row r="4" spans="1:15" x14ac:dyDescent="0.1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5" x14ac:dyDescent="0.1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</row>
    <row r="6" spans="1:15" x14ac:dyDescent="0.1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1:15" x14ac:dyDescent="0.1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x14ac:dyDescent="0.1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</row>
    <row r="9" spans="1:15" x14ac:dyDescent="0.1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</row>
    <row r="10" spans="1:15" x14ac:dyDescent="0.1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5" x14ac:dyDescent="0.1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 spans="1:15" x14ac:dyDescent="0.1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5" x14ac:dyDescent="0.1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5" x14ac:dyDescent="0.1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1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</row>
    <row r="16" spans="1:15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4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</row>
    <row r="18" spans="1:14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</row>
    <row r="19" spans="1:14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4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4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4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4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44" spans="15:15" x14ac:dyDescent="0.15">
      <c r="O44" s="7">
        <f>+E44*F44/36</f>
        <v>0</v>
      </c>
    </row>
  </sheetData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4" sqref="F14:G15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42993</v>
      </c>
      <c r="B2" s="5" t="str">
        <f>'20161118 当日委托查询'!H2</f>
        <v>09:39:51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600900</v>
      </c>
      <c r="I2" s="7" t="str">
        <f>IF('20161118 当日委托查询'!B2="卖出","S","B")</f>
        <v>B</v>
      </c>
      <c r="J2" s="7" t="s">
        <v>28</v>
      </c>
      <c r="K2" s="7">
        <f>IF(I2="S",-1*'20161118 当日委托查询'!F2,'20161118 当日委托查询'!F2)</f>
        <v>2600</v>
      </c>
      <c r="L2" s="7">
        <v>1</v>
      </c>
      <c r="M2" s="7">
        <f>'20161118 当日委托查询'!E2</f>
        <v>15.05</v>
      </c>
    </row>
    <row r="3" spans="1:25" x14ac:dyDescent="0.15">
      <c r="A3" s="2">
        <f t="shared" ca="1" si="0"/>
        <v>42993</v>
      </c>
      <c r="B3" s="5">
        <f>'20161118 当日委托查询'!H3</f>
        <v>0</v>
      </c>
      <c r="C3" s="7" t="s">
        <v>25</v>
      </c>
      <c r="D3" s="7" t="s">
        <v>26</v>
      </c>
      <c r="E3" s="7" t="s">
        <v>27</v>
      </c>
      <c r="F3" s="7"/>
      <c r="G3" s="7"/>
      <c r="H3" s="7">
        <f>'20161118 当日委托查询'!J3</f>
        <v>0</v>
      </c>
      <c r="I3" s="7" t="str">
        <f>IF('20161118 当日委托查询'!B3="卖出","S","B")</f>
        <v>B</v>
      </c>
      <c r="J3" s="7" t="s">
        <v>28</v>
      </c>
      <c r="K3" s="7">
        <f>IF(I3="S",-1*'20161118 当日委托查询'!F3,'20161118 当日委托查询'!F3)</f>
        <v>0</v>
      </c>
      <c r="L3" s="7">
        <v>1</v>
      </c>
      <c r="M3" s="7">
        <f>'20161118 当日委托查询'!E3</f>
        <v>0</v>
      </c>
    </row>
    <row r="4" spans="1:25" x14ac:dyDescent="0.15">
      <c r="A4" s="2">
        <f t="shared" ca="1" si="0"/>
        <v>42993</v>
      </c>
      <c r="B4" s="5">
        <f>'20161118 当日委托查询'!H4</f>
        <v>0</v>
      </c>
      <c r="C4" s="7" t="s">
        <v>25</v>
      </c>
      <c r="D4" s="7" t="s">
        <v>26</v>
      </c>
      <c r="E4" s="7" t="s">
        <v>27</v>
      </c>
      <c r="F4" s="7"/>
      <c r="G4" s="7"/>
      <c r="H4" s="7">
        <f>'20161118 当日委托查询'!J4</f>
        <v>0</v>
      </c>
      <c r="I4" s="7" t="str">
        <f>IF('20161118 当日委托查询'!B4="卖出","S","B")</f>
        <v>B</v>
      </c>
      <c r="J4" s="7" t="s">
        <v>28</v>
      </c>
      <c r="K4" s="7">
        <f>IF(I4="S",-1*'20161118 当日委托查询'!F4,'20161118 当日委托查询'!F4)</f>
        <v>0</v>
      </c>
      <c r="L4" s="7">
        <v>1</v>
      </c>
      <c r="M4" s="7">
        <f>'20161118 当日委托查询'!E4</f>
        <v>0</v>
      </c>
    </row>
    <row r="5" spans="1:25" x14ac:dyDescent="0.15">
      <c r="A5" s="2">
        <f t="shared" ca="1" si="0"/>
        <v>42993</v>
      </c>
      <c r="B5" s="5">
        <f>'20161118 当日委托查询'!H5</f>
        <v>0</v>
      </c>
      <c r="C5" s="7" t="s">
        <v>25</v>
      </c>
      <c r="D5" s="7" t="s">
        <v>26</v>
      </c>
      <c r="E5" s="7" t="s">
        <v>27</v>
      </c>
      <c r="F5" s="7"/>
      <c r="G5" s="7"/>
      <c r="H5" s="7">
        <f>'20161118 当日委托查询'!J5</f>
        <v>0</v>
      </c>
      <c r="I5" s="7" t="str">
        <f>IF('20161118 当日委托查询'!B5="卖出","S","B")</f>
        <v>B</v>
      </c>
      <c r="J5" s="7" t="s">
        <v>28</v>
      </c>
      <c r="K5" s="7">
        <f>IF(I5="S",-1*'20161118 当日委托查询'!F5,'20161118 当日委托查询'!F5)</f>
        <v>0</v>
      </c>
      <c r="L5" s="7">
        <v>1</v>
      </c>
      <c r="M5" s="7">
        <f>'20161118 当日委托查询'!E5</f>
        <v>0</v>
      </c>
    </row>
    <row r="6" spans="1:25" x14ac:dyDescent="0.15">
      <c r="A6" s="2">
        <f t="shared" ca="1" si="0"/>
        <v>42993</v>
      </c>
      <c r="B6" s="5">
        <f>'20161118 当日委托查询'!H6</f>
        <v>0</v>
      </c>
      <c r="C6" s="7" t="s">
        <v>25</v>
      </c>
      <c r="D6" s="7" t="s">
        <v>26</v>
      </c>
      <c r="E6" s="7" t="s">
        <v>27</v>
      </c>
      <c r="F6" s="7"/>
      <c r="G6" s="7"/>
      <c r="H6" s="7">
        <f>'20161118 当日委托查询'!J6</f>
        <v>0</v>
      </c>
      <c r="I6" s="7" t="str">
        <f>IF('20161118 当日委托查询'!B6="卖出","S","B")</f>
        <v>B</v>
      </c>
      <c r="J6" s="7" t="s">
        <v>28</v>
      </c>
      <c r="K6" s="7">
        <f>IF(I6="S",-1*'20161118 当日委托查询'!F6,'20161118 当日委托查询'!F6)</f>
        <v>0</v>
      </c>
      <c r="L6" s="7">
        <v>1</v>
      </c>
      <c r="M6" s="7">
        <f>'20161118 当日委托查询'!E6</f>
        <v>0</v>
      </c>
    </row>
    <row r="7" spans="1:25" x14ac:dyDescent="0.15">
      <c r="A7" s="2">
        <f t="shared" ca="1" si="0"/>
        <v>42993</v>
      </c>
      <c r="B7" s="5">
        <f>'20161118 当日委托查询'!H7</f>
        <v>0</v>
      </c>
      <c r="C7" s="7" t="s">
        <v>25</v>
      </c>
      <c r="D7" s="7" t="s">
        <v>26</v>
      </c>
      <c r="E7" s="7" t="s">
        <v>27</v>
      </c>
      <c r="F7" s="7"/>
      <c r="G7" s="7"/>
      <c r="H7" s="7">
        <f>'20161118 当日委托查询'!J7</f>
        <v>0</v>
      </c>
      <c r="I7" s="7" t="str">
        <f>IF('20161118 当日委托查询'!B7="卖出","S","B")</f>
        <v>B</v>
      </c>
      <c r="J7" s="7" t="s">
        <v>28</v>
      </c>
      <c r="K7" s="7">
        <f>IF(I7="S",-1*'20161118 当日委托查询'!F7,'20161118 当日委托查询'!F7)</f>
        <v>0</v>
      </c>
      <c r="L7" s="7">
        <v>1</v>
      </c>
      <c r="M7" s="7">
        <f>'20161118 当日委托查询'!E7</f>
        <v>0</v>
      </c>
    </row>
    <row r="8" spans="1:25" x14ac:dyDescent="0.15">
      <c r="A8" s="2">
        <f t="shared" ca="1" si="0"/>
        <v>42993</v>
      </c>
      <c r="B8" s="5">
        <f>'20161118 当日委托查询'!H8</f>
        <v>0</v>
      </c>
      <c r="C8" s="7" t="s">
        <v>25</v>
      </c>
      <c r="D8" s="7" t="s">
        <v>26</v>
      </c>
      <c r="E8" s="7" t="s">
        <v>27</v>
      </c>
      <c r="F8" s="7"/>
      <c r="G8" s="7"/>
      <c r="H8" s="7">
        <f>'20161118 当日委托查询'!J8</f>
        <v>0</v>
      </c>
      <c r="I8" s="7" t="str">
        <f>IF('20161118 当日委托查询'!B8="卖出","S","B")</f>
        <v>B</v>
      </c>
      <c r="J8" s="7" t="s">
        <v>28</v>
      </c>
      <c r="K8" s="7">
        <f>IF(I8="S",-1*'20161118 当日委托查询'!F8,'20161118 当日委托查询'!F8)</f>
        <v>0</v>
      </c>
      <c r="L8" s="7">
        <v>1</v>
      </c>
      <c r="M8" s="7">
        <f>'20161118 当日委托查询'!E8</f>
        <v>0</v>
      </c>
    </row>
    <row r="9" spans="1:25" x14ac:dyDescent="0.15">
      <c r="A9" s="2">
        <f t="shared" ca="1" si="0"/>
        <v>42993</v>
      </c>
      <c r="B9" s="5">
        <f>'20161118 当日委托查询'!H9</f>
        <v>0</v>
      </c>
      <c r="C9" s="7" t="s">
        <v>25</v>
      </c>
      <c r="D9" s="7" t="s">
        <v>26</v>
      </c>
      <c r="E9" s="7" t="s">
        <v>27</v>
      </c>
      <c r="F9" s="7"/>
      <c r="G9" s="7"/>
      <c r="H9" s="7">
        <f>'20161118 当日委托查询'!J9</f>
        <v>0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0</v>
      </c>
      <c r="L9" s="7">
        <v>1</v>
      </c>
      <c r="M9" s="7">
        <f>'20161118 当日委托查询'!E9</f>
        <v>0</v>
      </c>
    </row>
    <row r="10" spans="1:25" x14ac:dyDescent="0.15">
      <c r="A10" s="2">
        <f t="shared" ca="1" si="0"/>
        <v>42993</v>
      </c>
      <c r="B10" s="5">
        <f>'20161118 当日委托查询'!H10</f>
        <v>0</v>
      </c>
      <c r="C10" s="7" t="s">
        <v>25</v>
      </c>
      <c r="D10" s="7" t="s">
        <v>26</v>
      </c>
      <c r="E10" s="7" t="s">
        <v>27</v>
      </c>
      <c r="F10" s="7"/>
      <c r="G10" s="7"/>
      <c r="H10" s="7">
        <f>'20161118 当日委托查询'!J10</f>
        <v>0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0</v>
      </c>
      <c r="L10" s="7">
        <v>1</v>
      </c>
      <c r="M10" s="7">
        <f>'20161118 当日委托查询'!E10</f>
        <v>0</v>
      </c>
    </row>
    <row r="11" spans="1:25" x14ac:dyDescent="0.15">
      <c r="A11" s="2">
        <f t="shared" ca="1" si="0"/>
        <v>42993</v>
      </c>
      <c r="B11" s="5">
        <f>'20161118 当日委托查询'!H11</f>
        <v>0</v>
      </c>
      <c r="C11" s="7" t="s">
        <v>25</v>
      </c>
      <c r="D11" s="7" t="s">
        <v>26</v>
      </c>
      <c r="E11" s="7" t="s">
        <v>27</v>
      </c>
      <c r="F11" s="7"/>
      <c r="G11" s="7"/>
      <c r="H11" s="7">
        <f>'20161118 当日委托查询'!J11</f>
        <v>0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0</v>
      </c>
      <c r="L11" s="7">
        <v>1</v>
      </c>
      <c r="M11" s="7">
        <f>'20161118 当日委托查询'!E11</f>
        <v>0</v>
      </c>
    </row>
    <row r="12" spans="1:25" x14ac:dyDescent="0.15">
      <c r="A12" s="2">
        <f t="shared" ca="1" si="0"/>
        <v>42993</v>
      </c>
      <c r="B12" s="5">
        <f>'20161118 当日委托查询'!H12</f>
        <v>0</v>
      </c>
      <c r="C12" s="7" t="s">
        <v>25</v>
      </c>
      <c r="D12" s="7" t="s">
        <v>26</v>
      </c>
      <c r="E12" s="7" t="s">
        <v>27</v>
      </c>
      <c r="F12" s="7"/>
      <c r="G12" s="7"/>
      <c r="H12" s="7">
        <f>'20161118 当日委托查询'!J12</f>
        <v>0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0</v>
      </c>
      <c r="L12" s="7">
        <v>1</v>
      </c>
      <c r="M12" s="7">
        <f>'20161118 当日委托查询'!E12</f>
        <v>0</v>
      </c>
    </row>
    <row r="13" spans="1:25" x14ac:dyDescent="0.15">
      <c r="A13" s="2">
        <f t="shared" ca="1" si="0"/>
        <v>42993</v>
      </c>
      <c r="B13" s="5">
        <f>'20161118 当日委托查询'!H13</f>
        <v>0</v>
      </c>
      <c r="C13" s="7" t="s">
        <v>25</v>
      </c>
      <c r="D13" s="7" t="s">
        <v>26</v>
      </c>
      <c r="E13" s="7" t="s">
        <v>27</v>
      </c>
      <c r="F13" s="7"/>
      <c r="G13" s="7"/>
      <c r="H13" s="7">
        <f>'20161118 当日委托查询'!J13</f>
        <v>0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0</v>
      </c>
      <c r="L13" s="7">
        <v>1</v>
      </c>
      <c r="M13" s="7">
        <f>'20161118 当日委托查询'!E13</f>
        <v>0</v>
      </c>
    </row>
    <row r="14" spans="1:25" x14ac:dyDescent="0.15">
      <c r="A14" s="2">
        <f t="shared" ca="1" si="0"/>
        <v>42993</v>
      </c>
      <c r="B14" s="5">
        <f>'20161118 当日委托查询'!H14</f>
        <v>0</v>
      </c>
      <c r="C14" s="7" t="s">
        <v>25</v>
      </c>
      <c r="D14" s="7" t="s">
        <v>26</v>
      </c>
      <c r="E14" s="7" t="s">
        <v>27</v>
      </c>
      <c r="F14" s="7"/>
      <c r="G14" s="7"/>
      <c r="H14" s="7">
        <f>'20161118 当日委托查询'!J14</f>
        <v>0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0</v>
      </c>
      <c r="L14" s="7">
        <v>1</v>
      </c>
      <c r="M14" s="7">
        <f>'20161118 当日委托查询'!E14</f>
        <v>0</v>
      </c>
    </row>
    <row r="15" spans="1:25" x14ac:dyDescent="0.15">
      <c r="A15" s="2">
        <f t="shared" ca="1" si="0"/>
        <v>42993</v>
      </c>
      <c r="B15" s="5">
        <f>'20161118 当日委托查询'!H15</f>
        <v>0</v>
      </c>
      <c r="C15" s="7" t="s">
        <v>25</v>
      </c>
      <c r="D15" s="7" t="s">
        <v>26</v>
      </c>
      <c r="E15" s="7" t="s">
        <v>27</v>
      </c>
      <c r="F15" s="7"/>
      <c r="G15" s="7"/>
      <c r="H15" s="7">
        <f>'20161118 当日委托查询'!J15</f>
        <v>0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0</v>
      </c>
      <c r="L15" s="7">
        <v>1</v>
      </c>
      <c r="M15" s="7">
        <f>'20161118 当日委托查询'!E15</f>
        <v>0</v>
      </c>
    </row>
    <row r="16" spans="1:25" x14ac:dyDescent="0.15">
      <c r="A16" s="2">
        <f t="shared" ca="1" si="0"/>
        <v>42993</v>
      </c>
      <c r="B16" s="5">
        <f>'20161118 当日委托查询'!H16</f>
        <v>0</v>
      </c>
      <c r="C16" s="7" t="s">
        <v>25</v>
      </c>
      <c r="D16" s="7" t="s">
        <v>26</v>
      </c>
      <c r="E16" s="7" t="s">
        <v>27</v>
      </c>
      <c r="F16" s="7"/>
      <c r="G16" s="7"/>
      <c r="H16" s="7">
        <f>'20161118 当日委托查询'!J16</f>
        <v>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0</v>
      </c>
      <c r="L16" s="7">
        <v>1</v>
      </c>
      <c r="M16" s="7">
        <f>'20161118 当日委托查询'!E16</f>
        <v>0</v>
      </c>
    </row>
    <row r="17" spans="1:13" x14ac:dyDescent="0.15">
      <c r="A17" s="2">
        <f t="shared" ca="1" si="0"/>
        <v>42993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42993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42993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42993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42993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42993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42993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42993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42993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42993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42993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42993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42993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42993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42993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42993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42993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42993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42993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42993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42993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42993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42993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42993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42993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42993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42993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42993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42993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42993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42993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42993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42993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42993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42993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42993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42993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42993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42993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42993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42993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42993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42993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42993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42993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42993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42993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42993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42993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42993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42993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42993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42993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42993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42993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42993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42993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42993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42993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42993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42993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zoomScale="115" zoomScaleNormal="115" workbookViewId="0">
      <selection activeCell="A2" sqref="A2:M3"/>
    </sheetView>
  </sheetViews>
  <sheetFormatPr defaultRowHeight="13.5" x14ac:dyDescent="0.15"/>
  <sheetData>
    <row r="1" spans="1:13" x14ac:dyDescent="0.15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</row>
    <row r="2" spans="1:13" x14ac:dyDescent="0.15">
      <c r="A2" t="s">
        <v>47</v>
      </c>
      <c r="B2" t="s">
        <v>50</v>
      </c>
      <c r="C2">
        <v>2.6190000000000002</v>
      </c>
      <c r="D2">
        <v>300000</v>
      </c>
      <c r="E2">
        <v>2.6190000000000002</v>
      </c>
      <c r="F2">
        <v>300000</v>
      </c>
      <c r="G2" t="s">
        <v>42</v>
      </c>
      <c r="H2" t="s">
        <v>51</v>
      </c>
      <c r="I2" t="s">
        <v>52</v>
      </c>
      <c r="J2" t="s">
        <v>48</v>
      </c>
      <c r="K2" t="s">
        <v>43</v>
      </c>
      <c r="L2" t="s">
        <v>53</v>
      </c>
      <c r="M2">
        <v>0</v>
      </c>
    </row>
    <row r="3" spans="1:13" x14ac:dyDescent="0.15">
      <c r="A3" t="s">
        <v>47</v>
      </c>
      <c r="B3" t="s">
        <v>50</v>
      </c>
      <c r="C3">
        <v>2.6219999999999999</v>
      </c>
      <c r="D3">
        <v>294200</v>
      </c>
      <c r="E3">
        <v>2.6219999999999999</v>
      </c>
      <c r="F3">
        <v>294200</v>
      </c>
      <c r="G3" t="s">
        <v>42</v>
      </c>
      <c r="H3" t="s">
        <v>54</v>
      </c>
      <c r="I3" t="s">
        <v>55</v>
      </c>
      <c r="J3" t="s">
        <v>48</v>
      </c>
      <c r="K3" t="s">
        <v>43</v>
      </c>
      <c r="L3" t="s">
        <v>53</v>
      </c>
      <c r="M3">
        <v>0</v>
      </c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5"/>
  <sheetViews>
    <sheetView zoomScale="130" zoomScaleNormal="13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1" sqref="D11"/>
    </sheetView>
  </sheetViews>
  <sheetFormatPr defaultRowHeight="13.5" x14ac:dyDescent="0.15"/>
  <cols>
    <col min="1" max="1" width="9.5" bestFit="1" customWidth="1"/>
  </cols>
  <sheetData>
    <row r="1" spans="1:13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15">
      <c r="A2" s="2">
        <f t="shared" ref="A2:A15" ca="1" si="0">TODAY()</f>
        <v>42993</v>
      </c>
      <c r="B2" t="str">
        <f>+'Margin 委托'!H2</f>
        <v>13:03:07</v>
      </c>
      <c r="C2" t="s">
        <v>49</v>
      </c>
      <c r="D2" t="s">
        <v>44</v>
      </c>
      <c r="E2" t="s">
        <v>45</v>
      </c>
      <c r="H2" t="str">
        <f>'Margin 委托'!J2</f>
        <v>510050</v>
      </c>
      <c r="I2" t="str">
        <f>IF('Margin 委托'!B2="证券买入","B","S")</f>
        <v>S</v>
      </c>
      <c r="J2" t="s">
        <v>46</v>
      </c>
      <c r="K2">
        <f>IF(I2="S",-1*('Margin 委托'!F2),'Margin 委托'!F2)</f>
        <v>-300000</v>
      </c>
      <c r="L2">
        <v>1</v>
      </c>
      <c r="M2">
        <f>'Margin 委托'!E2</f>
        <v>2.6190000000000002</v>
      </c>
    </row>
    <row r="3" spans="1:13" x14ac:dyDescent="0.15">
      <c r="A3" s="2">
        <f t="shared" ca="1" si="0"/>
        <v>42993</v>
      </c>
      <c r="B3" s="7" t="str">
        <f>+'Margin 委托'!H3</f>
        <v>13:13:38</v>
      </c>
      <c r="C3" s="7" t="s">
        <v>49</v>
      </c>
      <c r="D3" t="s">
        <v>44</v>
      </c>
      <c r="E3" t="s">
        <v>45</v>
      </c>
      <c r="H3" s="7" t="str">
        <f>'Margin 委托'!J3</f>
        <v>510050</v>
      </c>
      <c r="I3" s="7" t="str">
        <f>IF('Margin 委托'!B3="证券买入","B","S")</f>
        <v>S</v>
      </c>
      <c r="J3" t="s">
        <v>46</v>
      </c>
      <c r="K3" s="7">
        <f>IF(I3="S",-1*('Margin 委托'!F3),'Margin 委托'!F3)</f>
        <v>-294200</v>
      </c>
      <c r="L3">
        <v>1</v>
      </c>
      <c r="M3" s="7">
        <f>'Margin 委托'!E3</f>
        <v>2.6219999999999999</v>
      </c>
    </row>
    <row r="4" spans="1:13" x14ac:dyDescent="0.15">
      <c r="A4" s="2">
        <f t="shared" ca="1" si="0"/>
        <v>42993</v>
      </c>
      <c r="B4" s="7">
        <f>+'Margin 委托'!H4</f>
        <v>0</v>
      </c>
      <c r="C4" s="7" t="s">
        <v>49</v>
      </c>
      <c r="D4" t="s">
        <v>44</v>
      </c>
      <c r="E4" t="s">
        <v>45</v>
      </c>
      <c r="H4" s="7">
        <f>'Margin 委托'!J4</f>
        <v>0</v>
      </c>
      <c r="I4" s="7" t="str">
        <f>IF('Margin 委托'!B4="证券买入","B","S")</f>
        <v>S</v>
      </c>
      <c r="J4" t="s">
        <v>46</v>
      </c>
      <c r="K4" s="7">
        <f>IF(I4="S",-1*('Margin 委托'!F4),'Margin 委托'!F4)</f>
        <v>0</v>
      </c>
      <c r="L4">
        <v>1</v>
      </c>
      <c r="M4" s="7">
        <f>'Margin 委托'!E4</f>
        <v>0</v>
      </c>
    </row>
    <row r="5" spans="1:13" x14ac:dyDescent="0.15">
      <c r="A5" s="2">
        <f t="shared" ca="1" si="0"/>
        <v>42993</v>
      </c>
      <c r="B5" s="7">
        <f>+'Margin 委托'!H5</f>
        <v>0</v>
      </c>
      <c r="C5" s="7" t="s">
        <v>49</v>
      </c>
      <c r="D5" t="s">
        <v>44</v>
      </c>
      <c r="E5" t="s">
        <v>45</v>
      </c>
      <c r="H5" s="7">
        <f>'Margin 委托'!J5</f>
        <v>0</v>
      </c>
      <c r="I5" s="7" t="str">
        <f>IF('Margin 委托'!B5="证券买入","B","S")</f>
        <v>S</v>
      </c>
      <c r="J5" t="s">
        <v>46</v>
      </c>
      <c r="K5" s="7">
        <f>IF(I5="S",-1*('Margin 委托'!F5),'Margin 委托'!F5)</f>
        <v>0</v>
      </c>
      <c r="L5">
        <v>1</v>
      </c>
      <c r="M5" s="7">
        <f>'Margin 委托'!E5</f>
        <v>0</v>
      </c>
    </row>
    <row r="6" spans="1:13" x14ac:dyDescent="0.15">
      <c r="A6" s="2">
        <f t="shared" ca="1" si="0"/>
        <v>42993</v>
      </c>
      <c r="B6" s="7">
        <f>+'Margin 委托'!H6</f>
        <v>0</v>
      </c>
      <c r="C6" s="7" t="s">
        <v>49</v>
      </c>
      <c r="D6" t="s">
        <v>44</v>
      </c>
      <c r="E6" t="s">
        <v>45</v>
      </c>
      <c r="H6" s="7">
        <f>'Margin 委托'!J6</f>
        <v>0</v>
      </c>
      <c r="I6" s="7" t="str">
        <f>IF('Margin 委托'!B6="证券买入","B","S")</f>
        <v>S</v>
      </c>
      <c r="J6" t="s">
        <v>46</v>
      </c>
      <c r="K6" s="7">
        <f>IF(I6="S",-1*('Margin 委托'!F6),'Margin 委托'!F6)</f>
        <v>0</v>
      </c>
      <c r="L6">
        <v>1</v>
      </c>
      <c r="M6" s="7">
        <f>'Margin 委托'!E6</f>
        <v>0</v>
      </c>
    </row>
    <row r="7" spans="1:13" x14ac:dyDescent="0.15">
      <c r="A7" s="2">
        <f t="shared" ca="1" si="0"/>
        <v>42993</v>
      </c>
      <c r="B7" s="7">
        <f>+'Margin 委托'!H7</f>
        <v>0</v>
      </c>
      <c r="C7" s="7" t="s">
        <v>49</v>
      </c>
      <c r="D7" t="s">
        <v>44</v>
      </c>
      <c r="E7" t="s">
        <v>45</v>
      </c>
      <c r="H7" s="7">
        <f>'Margin 委托'!J7</f>
        <v>0</v>
      </c>
      <c r="I7" s="7" t="str">
        <f>IF('Margin 委托'!B7="证券买入","B","S")</f>
        <v>S</v>
      </c>
      <c r="J7" t="s">
        <v>46</v>
      </c>
      <c r="K7" s="7">
        <f>IF(I7="S",-1*('Margin 委托'!F7),'Margin 委托'!F7)</f>
        <v>0</v>
      </c>
      <c r="L7">
        <v>1</v>
      </c>
      <c r="M7" s="7">
        <f>'Margin 委托'!E7</f>
        <v>0</v>
      </c>
    </row>
    <row r="8" spans="1:13" x14ac:dyDescent="0.15">
      <c r="A8" s="2">
        <f t="shared" ca="1" si="0"/>
        <v>42993</v>
      </c>
      <c r="B8" s="7">
        <f>+'Margin 委托'!H8</f>
        <v>0</v>
      </c>
      <c r="C8" s="7" t="s">
        <v>49</v>
      </c>
      <c r="D8" t="s">
        <v>44</v>
      </c>
      <c r="E8" t="s">
        <v>45</v>
      </c>
      <c r="H8" s="7">
        <f>'Margin 委托'!J8</f>
        <v>0</v>
      </c>
      <c r="I8" s="7" t="str">
        <f>IF('Margin 委托'!B8="证券买入","B","S")</f>
        <v>S</v>
      </c>
      <c r="J8" t="s">
        <v>46</v>
      </c>
      <c r="K8" s="7">
        <f>IF(I8="S",-1*('Margin 委托'!F8),'Margin 委托'!F8)</f>
        <v>0</v>
      </c>
      <c r="L8">
        <v>1</v>
      </c>
      <c r="M8" s="7">
        <f>'Margin 委托'!E8</f>
        <v>0</v>
      </c>
    </row>
    <row r="9" spans="1:13" x14ac:dyDescent="0.15">
      <c r="A9" s="2">
        <f t="shared" ca="1" si="0"/>
        <v>42993</v>
      </c>
      <c r="B9" s="7">
        <f>+'Margin 委托'!H9</f>
        <v>0</v>
      </c>
      <c r="C9" s="7" t="s">
        <v>49</v>
      </c>
      <c r="D9" t="s">
        <v>44</v>
      </c>
      <c r="E9" t="s">
        <v>45</v>
      </c>
      <c r="H9" s="7">
        <f>'Margin 委托'!J9</f>
        <v>0</v>
      </c>
      <c r="I9" s="7" t="str">
        <f>IF('Margin 委托'!B9="证券买入","B","S")</f>
        <v>S</v>
      </c>
      <c r="J9" t="s">
        <v>46</v>
      </c>
      <c r="K9" s="7">
        <f>IF(I9="S",-1*('Margin 委托'!F9),'Margin 委托'!F9)</f>
        <v>0</v>
      </c>
      <c r="L9">
        <v>1</v>
      </c>
      <c r="M9" s="7">
        <f>'Margin 委托'!E9</f>
        <v>0</v>
      </c>
    </row>
    <row r="10" spans="1:13" x14ac:dyDescent="0.15">
      <c r="A10" s="2">
        <f t="shared" ca="1" si="0"/>
        <v>42993</v>
      </c>
      <c r="B10" s="7">
        <f>+'Margin 委托'!H10</f>
        <v>0</v>
      </c>
      <c r="C10" s="7" t="s">
        <v>49</v>
      </c>
      <c r="D10" t="s">
        <v>44</v>
      </c>
      <c r="E10" t="s">
        <v>45</v>
      </c>
      <c r="H10" s="7">
        <f>'Margin 委托'!J10</f>
        <v>0</v>
      </c>
      <c r="I10" s="7" t="str">
        <f>IF('Margin 委托'!B10="证券买入","B","S")</f>
        <v>S</v>
      </c>
      <c r="J10" t="s">
        <v>46</v>
      </c>
      <c r="K10" s="7">
        <f>IF(I10="S",-1*('Margin 委托'!F10),'Margin 委托'!F10)</f>
        <v>0</v>
      </c>
      <c r="L10">
        <v>1</v>
      </c>
      <c r="M10" s="7">
        <f>'Margin 委托'!E10</f>
        <v>0</v>
      </c>
    </row>
    <row r="11" spans="1:13" x14ac:dyDescent="0.15">
      <c r="A11" s="2">
        <f t="shared" ca="1" si="0"/>
        <v>42993</v>
      </c>
      <c r="B11" s="7">
        <f>+'Margin 委托'!H11</f>
        <v>0</v>
      </c>
      <c r="C11" s="7" t="s">
        <v>49</v>
      </c>
      <c r="D11" t="s">
        <v>44</v>
      </c>
      <c r="E11" t="s">
        <v>45</v>
      </c>
      <c r="H11" s="7">
        <f>'Margin 委托'!J11</f>
        <v>0</v>
      </c>
      <c r="I11" s="7" t="str">
        <f>IF('Margin 委托'!B11="证券买入","B","S")</f>
        <v>S</v>
      </c>
      <c r="J11" t="s">
        <v>46</v>
      </c>
      <c r="K11" s="7">
        <f>IF(I11="S",-1*('Margin 委托'!F11),'Margin 委托'!F11)</f>
        <v>0</v>
      </c>
      <c r="L11">
        <v>1</v>
      </c>
      <c r="M11" s="7">
        <f>'Margin 委托'!E11</f>
        <v>0</v>
      </c>
    </row>
    <row r="12" spans="1:13" x14ac:dyDescent="0.15">
      <c r="A12" s="2">
        <f t="shared" ca="1" si="0"/>
        <v>42993</v>
      </c>
      <c r="B12" s="7">
        <f>+'Margin 委托'!H12</f>
        <v>0</v>
      </c>
      <c r="C12" s="7" t="s">
        <v>49</v>
      </c>
      <c r="D12" t="s">
        <v>44</v>
      </c>
      <c r="E12" t="s">
        <v>45</v>
      </c>
      <c r="H12" s="7">
        <f>'Margin 委托'!J12</f>
        <v>0</v>
      </c>
      <c r="I12" s="7" t="str">
        <f>IF('Margin 委托'!B12="证券买入","B","S")</f>
        <v>S</v>
      </c>
      <c r="J12" t="s">
        <v>46</v>
      </c>
      <c r="K12" s="7">
        <f>IF(I12="S",-1*('Margin 委托'!F12),'Margin 委托'!F12)</f>
        <v>0</v>
      </c>
      <c r="L12">
        <v>1</v>
      </c>
      <c r="M12" s="7">
        <f>'Margin 委托'!E12</f>
        <v>0</v>
      </c>
    </row>
    <row r="13" spans="1:13" x14ac:dyDescent="0.15">
      <c r="A13" s="2">
        <f t="shared" ca="1" si="0"/>
        <v>42993</v>
      </c>
      <c r="B13" s="7">
        <f>+'Margin 委托'!H13</f>
        <v>0</v>
      </c>
      <c r="C13" s="7" t="s">
        <v>49</v>
      </c>
      <c r="D13" t="s">
        <v>44</v>
      </c>
      <c r="E13" t="s">
        <v>45</v>
      </c>
      <c r="H13" s="7">
        <f>'Margin 委托'!J13</f>
        <v>0</v>
      </c>
      <c r="I13" s="7" t="str">
        <f>IF('Margin 委托'!B13="证券买入","B","S")</f>
        <v>S</v>
      </c>
      <c r="J13" t="s">
        <v>46</v>
      </c>
      <c r="K13" s="7">
        <f>IF(I13="S",-1*('Margin 委托'!F13),'Margin 委托'!F13)</f>
        <v>0</v>
      </c>
      <c r="L13">
        <v>1</v>
      </c>
      <c r="M13" s="7">
        <f>'Margin 委托'!E13</f>
        <v>0</v>
      </c>
    </row>
    <row r="14" spans="1:13" x14ac:dyDescent="0.15">
      <c r="A14" s="2">
        <f t="shared" ca="1" si="0"/>
        <v>42993</v>
      </c>
      <c r="B14" s="7">
        <f>+'Margin 委托'!H14</f>
        <v>0</v>
      </c>
      <c r="C14" s="7" t="s">
        <v>49</v>
      </c>
      <c r="D14" t="s">
        <v>44</v>
      </c>
      <c r="E14" t="s">
        <v>45</v>
      </c>
      <c r="H14" s="7">
        <f>'Margin 委托'!J14</f>
        <v>0</v>
      </c>
      <c r="I14" s="7" t="str">
        <f>IF('Margin 委托'!B14="证券买入","B","S")</f>
        <v>S</v>
      </c>
      <c r="J14" t="s">
        <v>46</v>
      </c>
      <c r="K14" s="7">
        <f>IF(I14="S",-1*('Margin 委托'!F14),'Margin 委托'!F14)</f>
        <v>0</v>
      </c>
      <c r="L14">
        <v>1</v>
      </c>
      <c r="M14" s="7">
        <f>'Margin 委托'!E14</f>
        <v>0</v>
      </c>
    </row>
    <row r="15" spans="1:13" x14ac:dyDescent="0.15">
      <c r="A15" s="2">
        <f t="shared" ca="1" si="0"/>
        <v>42993</v>
      </c>
      <c r="B15" s="7">
        <f>+'Margin 委托'!H15</f>
        <v>0</v>
      </c>
      <c r="C15" s="7" t="s">
        <v>49</v>
      </c>
      <c r="D15" t="s">
        <v>44</v>
      </c>
      <c r="E15" t="s">
        <v>45</v>
      </c>
      <c r="H15" s="7">
        <f>'Margin 委托'!J15</f>
        <v>0</v>
      </c>
      <c r="I15" s="7" t="str">
        <f>IF('Margin 委托'!B15="证券买入","B","S")</f>
        <v>S</v>
      </c>
      <c r="J15" t="s">
        <v>46</v>
      </c>
      <c r="K15" s="7">
        <f>IF(I15="S",-1*('Margin 委托'!F15),'Margin 委托'!F15)</f>
        <v>0</v>
      </c>
      <c r="L15">
        <v>1</v>
      </c>
      <c r="M15" s="7">
        <f>'Margin 委托'!E15</f>
        <v>0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Margin 委托</vt:lpstr>
      <vt:lpstr>Margin main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2017-09-15T07:38:14Z</dcterms:modified>
</cp:coreProperties>
</file>