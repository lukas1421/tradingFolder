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690" windowWidth="16605" windowHeight="9225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当日委托查询'!$A$1:$O$27</definedName>
    <definedName name="_xlnm._FilterDatabase" localSheetId="1" hidden="1">Main!$A$1:$Y$40</definedName>
  </definedNames>
  <calcPr calcId="145621"/>
</workbook>
</file>

<file path=xl/calcChain.xml><?xml version="1.0" encoding="utf-8"?>
<calcChain xmlns="http://schemas.openxmlformats.org/spreadsheetml/2006/main">
  <c r="O21" i="1" l="1"/>
  <c r="O33" i="1" l="1"/>
  <c r="O54" i="1" l="1"/>
  <c r="A5" i="4" l="1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 s="1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 s="1"/>
  <c r="M30" i="4"/>
  <c r="A31" i="4"/>
  <c r="B31" i="4"/>
  <c r="H31" i="4"/>
  <c r="I31" i="4"/>
  <c r="K31" i="4" s="1"/>
  <c r="M31" i="4"/>
  <c r="A32" i="4"/>
  <c r="B32" i="4"/>
  <c r="H32" i="4"/>
  <c r="I32" i="4"/>
  <c r="K32" i="4" s="1"/>
  <c r="M32" i="4"/>
  <c r="A33" i="4"/>
  <c r="B33" i="4"/>
  <c r="H33" i="4"/>
  <c r="I33" i="4"/>
  <c r="K33" i="4" s="1"/>
  <c r="M33" i="4"/>
  <c r="A34" i="4"/>
  <c r="B34" i="4"/>
  <c r="H34" i="4"/>
  <c r="I34" i="4"/>
  <c r="K34" i="4" s="1"/>
  <c r="M34" i="4"/>
  <c r="A35" i="4"/>
  <c r="B35" i="4"/>
  <c r="H35" i="4"/>
  <c r="I35" i="4"/>
  <c r="K35" i="4" s="1"/>
  <c r="M35" i="4"/>
  <c r="A36" i="4"/>
  <c r="B36" i="4"/>
  <c r="H36" i="4"/>
  <c r="I36" i="4"/>
  <c r="K36" i="4" s="1"/>
  <c r="M36" i="4"/>
  <c r="A37" i="4"/>
  <c r="B37" i="4"/>
  <c r="H37" i="4"/>
  <c r="I37" i="4"/>
  <c r="K37" i="4" s="1"/>
  <c r="M37" i="4"/>
  <c r="A38" i="4"/>
  <c r="B38" i="4"/>
  <c r="H38" i="4"/>
  <c r="I38" i="4"/>
  <c r="K38" i="4" s="1"/>
  <c r="M38" i="4"/>
  <c r="A39" i="4"/>
  <c r="B39" i="4"/>
  <c r="H39" i="4"/>
  <c r="I39" i="4"/>
  <c r="K39" i="4" s="1"/>
  <c r="M39" i="4"/>
  <c r="A40" i="4"/>
  <c r="B40" i="4"/>
  <c r="H40" i="4"/>
  <c r="I40" i="4"/>
  <c r="K40" i="4" s="1"/>
  <c r="M40" i="4"/>
  <c r="A41" i="4"/>
  <c r="B41" i="4"/>
  <c r="H41" i="4"/>
  <c r="I41" i="4"/>
  <c r="K41" i="4" s="1"/>
  <c r="M41" i="4"/>
  <c r="A42" i="4"/>
  <c r="B42" i="4"/>
  <c r="H42" i="4"/>
  <c r="I42" i="4"/>
  <c r="K42" i="4" s="1"/>
  <c r="M42" i="4"/>
  <c r="A43" i="4"/>
  <c r="B43" i="4"/>
  <c r="H43" i="4"/>
  <c r="I43" i="4"/>
  <c r="K43" i="4" s="1"/>
  <c r="M43" i="4"/>
  <c r="A44" i="4"/>
  <c r="B44" i="4"/>
  <c r="H44" i="4"/>
  <c r="I44" i="4"/>
  <c r="K44" i="4" s="1"/>
  <c r="M44" i="4"/>
  <c r="A45" i="4"/>
  <c r="B45" i="4"/>
  <c r="H45" i="4"/>
  <c r="I45" i="4"/>
  <c r="K45" i="4" s="1"/>
  <c r="M45" i="4"/>
  <c r="A46" i="4"/>
  <c r="B46" i="4"/>
  <c r="H46" i="4"/>
  <c r="I46" i="4"/>
  <c r="K46" i="4" s="1"/>
  <c r="M46" i="4"/>
  <c r="A47" i="4"/>
  <c r="B47" i="4"/>
  <c r="H47" i="4"/>
  <c r="I47" i="4"/>
  <c r="K47" i="4" s="1"/>
  <c r="M47" i="4"/>
  <c r="A48" i="4"/>
  <c r="B48" i="4"/>
  <c r="H48" i="4"/>
  <c r="I48" i="4"/>
  <c r="K48" i="4" s="1"/>
  <c r="M48" i="4"/>
  <c r="A49" i="4"/>
  <c r="B49" i="4"/>
  <c r="H49" i="4"/>
  <c r="I49" i="4"/>
  <c r="K49" i="4" s="1"/>
  <c r="M49" i="4"/>
  <c r="A50" i="4"/>
  <c r="B50" i="4"/>
  <c r="H50" i="4"/>
  <c r="I50" i="4"/>
  <c r="K50" i="4" s="1"/>
  <c r="M50" i="4"/>
  <c r="A51" i="4"/>
  <c r="B51" i="4"/>
  <c r="H51" i="4"/>
  <c r="I51" i="4"/>
  <c r="K51" i="4" s="1"/>
  <c r="M51" i="4"/>
  <c r="A52" i="4"/>
  <c r="B52" i="4"/>
  <c r="H52" i="4"/>
  <c r="I52" i="4"/>
  <c r="K52" i="4" s="1"/>
  <c r="M52" i="4"/>
  <c r="A53" i="4"/>
  <c r="B53" i="4"/>
  <c r="H53" i="4"/>
  <c r="I53" i="4"/>
  <c r="K53" i="4" s="1"/>
  <c r="M53" i="4"/>
  <c r="A54" i="4"/>
  <c r="B54" i="4"/>
  <c r="H54" i="4"/>
  <c r="I54" i="4"/>
  <c r="K54" i="4" s="1"/>
  <c r="M54" i="4"/>
  <c r="A55" i="4"/>
  <c r="B55" i="4"/>
  <c r="H55" i="4"/>
  <c r="I55" i="4"/>
  <c r="K55" i="4" s="1"/>
  <c r="M55" i="4"/>
  <c r="A56" i="4"/>
  <c r="B56" i="4"/>
  <c r="H56" i="4"/>
  <c r="I56" i="4"/>
  <c r="K56" i="4" s="1"/>
  <c r="M56" i="4"/>
  <c r="A57" i="4"/>
  <c r="B57" i="4"/>
  <c r="H57" i="4"/>
  <c r="I57" i="4"/>
  <c r="K57" i="4" s="1"/>
  <c r="M57" i="4"/>
  <c r="A58" i="4"/>
  <c r="B58" i="4"/>
  <c r="H58" i="4"/>
  <c r="I58" i="4"/>
  <c r="K58" i="4" s="1"/>
  <c r="M58" i="4"/>
  <c r="A59" i="4"/>
  <c r="B59" i="4"/>
  <c r="H59" i="4"/>
  <c r="I59" i="4"/>
  <c r="K59" i="4" s="1"/>
  <c r="M59" i="4"/>
  <c r="A60" i="4"/>
  <c r="B60" i="4"/>
  <c r="H60" i="4"/>
  <c r="I60" i="4"/>
  <c r="K60" i="4" s="1"/>
  <c r="M60" i="4"/>
  <c r="A61" i="4"/>
  <c r="B61" i="4"/>
  <c r="H61" i="4"/>
  <c r="I61" i="4"/>
  <c r="K61" i="4" s="1"/>
  <c r="M61" i="4"/>
  <c r="A62" i="4"/>
  <c r="B62" i="4"/>
  <c r="H62" i="4"/>
  <c r="I62" i="4"/>
  <c r="K62" i="4" s="1"/>
  <c r="M62" i="4"/>
  <c r="A63" i="4"/>
  <c r="B63" i="4"/>
  <c r="H63" i="4"/>
  <c r="I63" i="4"/>
  <c r="K63" i="4" s="1"/>
  <c r="M63" i="4"/>
  <c r="A64" i="4"/>
  <c r="B64" i="4"/>
  <c r="H64" i="4"/>
  <c r="I64" i="4"/>
  <c r="K64" i="4" s="1"/>
  <c r="M64" i="4"/>
  <c r="A65" i="4"/>
  <c r="B65" i="4"/>
  <c r="H65" i="4"/>
  <c r="I65" i="4"/>
  <c r="K65" i="4" s="1"/>
  <c r="M65" i="4"/>
  <c r="A66" i="4"/>
  <c r="B66" i="4"/>
  <c r="H66" i="4"/>
  <c r="I66" i="4"/>
  <c r="K66" i="4" s="1"/>
  <c r="M66" i="4"/>
  <c r="A67" i="4"/>
  <c r="B67" i="4"/>
  <c r="H67" i="4"/>
  <c r="I67" i="4"/>
  <c r="K67" i="4" s="1"/>
  <c r="M67" i="4"/>
  <c r="A68" i="4"/>
  <c r="B68" i="4"/>
  <c r="H68" i="4"/>
  <c r="I68" i="4"/>
  <c r="K68" i="4" s="1"/>
  <c r="M68" i="4"/>
  <c r="A69" i="4"/>
  <c r="B69" i="4"/>
  <c r="H69" i="4"/>
  <c r="I69" i="4"/>
  <c r="K69" i="4" s="1"/>
  <c r="M69" i="4"/>
  <c r="A70" i="4"/>
  <c r="B70" i="4"/>
  <c r="H70" i="4"/>
  <c r="I70" i="4"/>
  <c r="K70" i="4" s="1"/>
  <c r="M70" i="4"/>
  <c r="A71" i="4"/>
  <c r="B71" i="4"/>
  <c r="H71" i="4"/>
  <c r="I71" i="4"/>
  <c r="K71" i="4" s="1"/>
  <c r="M71" i="4"/>
  <c r="A72" i="4"/>
  <c r="B72" i="4"/>
  <c r="H72" i="4"/>
  <c r="I72" i="4"/>
  <c r="K72" i="4" s="1"/>
  <c r="M72" i="4"/>
  <c r="A73" i="4"/>
  <c r="B73" i="4"/>
  <c r="H73" i="4"/>
  <c r="I73" i="4"/>
  <c r="K73" i="4" s="1"/>
  <c r="M73" i="4"/>
  <c r="A74" i="4"/>
  <c r="B74" i="4"/>
  <c r="H74" i="4"/>
  <c r="I74" i="4"/>
  <c r="K74" i="4" s="1"/>
  <c r="M74" i="4"/>
  <c r="A75" i="4"/>
  <c r="B75" i="4"/>
  <c r="H75" i="4"/>
  <c r="I75" i="4"/>
  <c r="K75" i="4" s="1"/>
  <c r="M75" i="4"/>
  <c r="A76" i="4"/>
  <c r="B76" i="4"/>
  <c r="H76" i="4"/>
  <c r="I76" i="4"/>
  <c r="K76" i="4" s="1"/>
  <c r="M76" i="4"/>
  <c r="A77" i="4"/>
  <c r="B77" i="4"/>
  <c r="H77" i="4"/>
  <c r="I77" i="4"/>
  <c r="K77" i="4" s="1"/>
  <c r="M77" i="4"/>
  <c r="A78" i="4"/>
  <c r="B78" i="4"/>
  <c r="H78" i="4"/>
  <c r="I78" i="4"/>
  <c r="K78" i="4" s="1"/>
  <c r="M78" i="4"/>
  <c r="A3" i="4" l="1"/>
  <c r="B3" i="4"/>
  <c r="H3" i="4"/>
  <c r="I3" i="4"/>
  <c r="K3" i="4" s="1"/>
  <c r="M3" i="4"/>
  <c r="A4" i="4"/>
  <c r="B4" i="4"/>
  <c r="H4" i="4"/>
  <c r="I4" i="4"/>
  <c r="K4" i="4" s="1"/>
  <c r="M4" i="4"/>
  <c r="M2" i="4" l="1"/>
  <c r="I2" i="4"/>
  <c r="K2" i="4" s="1"/>
  <c r="H2" i="4"/>
  <c r="B2" i="4"/>
  <c r="A2" i="4" l="1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<sst xmlns="http://schemas.openxmlformats.org/spreadsheetml/2006/main" count="723" uniqueCount="164">
  <si>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</si>
  <si>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</si>
  <si>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</si>
  <si>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</si>
  <si>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</si>
  <si>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</si>
  <si>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</si>
  <si>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</si>
  <si>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</si>
  <si>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</si>
  <si>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</si>
  <si>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</si>
  <si>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</si>
  <si>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</si>
  <si>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</si>
  <si>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</si>
  <si>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</si>
  <si>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</si>
  <si>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</si>
  <si>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</si>
  <si>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</si>
  <si>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</si>
  <si>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</si>
  <si>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</si>
  <si>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</si>
  <si>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</si>
  <si>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</si>
  <si>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</si>
  <si>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</si>
  <si>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</si>
  <si>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</si>
  <si>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</si>
  <si>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</si>
  <si>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买入</t>
  </si>
  <si>
    <t>广汽集团</t>
  </si>
  <si>
    <t>601238</t>
  </si>
  <si>
    <t>福耀玻璃</t>
  </si>
  <si>
    <t>600660</t>
  </si>
  <si>
    <t>0174291408</t>
  </si>
  <si>
    <t>海康威视</t>
  </si>
  <si>
    <t>14:46:43</t>
  </si>
  <si>
    <t>151</t>
  </si>
  <si>
    <t>002415</t>
  </si>
  <si>
    <t>000074K</t>
  </si>
  <si>
    <t>14:14:53</t>
  </si>
  <si>
    <t>148</t>
  </si>
  <si>
    <t>00006G9</t>
  </si>
  <si>
    <t>大族激光</t>
  </si>
  <si>
    <t>13:47:28</t>
  </si>
  <si>
    <t>145</t>
  </si>
  <si>
    <t>002008</t>
  </si>
  <si>
    <t>00005Y6</t>
  </si>
  <si>
    <t>13:45:27</t>
  </si>
  <si>
    <t>141</t>
  </si>
  <si>
    <t>00005WK</t>
  </si>
  <si>
    <t>小天鹅Ａ</t>
  </si>
  <si>
    <t>13:44:32</t>
  </si>
  <si>
    <t>138</t>
  </si>
  <si>
    <t>000418</t>
  </si>
  <si>
    <t>00005VW</t>
  </si>
  <si>
    <t>13:43:15</t>
  </si>
  <si>
    <t>135</t>
  </si>
  <si>
    <t>00005V3</t>
  </si>
  <si>
    <t>13:42:53</t>
  </si>
  <si>
    <t>132</t>
  </si>
  <si>
    <t>00005UT</t>
  </si>
  <si>
    <t>13:39:51</t>
  </si>
  <si>
    <t>129</t>
  </si>
  <si>
    <t>00005SR</t>
  </si>
  <si>
    <t>13:36:07</t>
  </si>
  <si>
    <t>126</t>
  </si>
  <si>
    <t>00005PZ</t>
  </si>
  <si>
    <t>13:33:09</t>
  </si>
  <si>
    <t>121</t>
  </si>
  <si>
    <t>00005NL</t>
  </si>
  <si>
    <t>13:32:23</t>
  </si>
  <si>
    <t>118</t>
  </si>
  <si>
    <t>00005N0</t>
  </si>
  <si>
    <t>13:30:43</t>
  </si>
  <si>
    <t>112</t>
  </si>
  <si>
    <t>00005LK</t>
  </si>
  <si>
    <t>13:30:25</t>
  </si>
  <si>
    <t>109</t>
  </si>
  <si>
    <t>0005991</t>
  </si>
  <si>
    <t>13:29:01</t>
  </si>
  <si>
    <t>107</t>
  </si>
  <si>
    <t>00005K6</t>
  </si>
  <si>
    <t>13:23:50</t>
  </si>
  <si>
    <t>103</t>
  </si>
  <si>
    <t>0005894</t>
  </si>
  <si>
    <t>13:23:40</t>
  </si>
  <si>
    <t>101</t>
  </si>
  <si>
    <t>00005GZ</t>
  </si>
  <si>
    <t>13:21:31</t>
  </si>
  <si>
    <t>94</t>
  </si>
  <si>
    <t>00005FP</t>
  </si>
  <si>
    <t>13:20:50</t>
  </si>
  <si>
    <t>91</t>
  </si>
  <si>
    <t>0005848</t>
  </si>
  <si>
    <t>13:18:45</t>
  </si>
  <si>
    <t>85</t>
  </si>
  <si>
    <t>00005DJ</t>
  </si>
  <si>
    <t>13:18:32</t>
  </si>
  <si>
    <t>83</t>
  </si>
  <si>
    <t>00005DD</t>
  </si>
  <si>
    <t>13:18:07</t>
  </si>
  <si>
    <t>81</t>
  </si>
  <si>
    <t>00005D0</t>
  </si>
  <si>
    <t>13:17:52</t>
  </si>
  <si>
    <t>78</t>
  </si>
  <si>
    <t>00005CW</t>
  </si>
  <si>
    <t>13:17:15</t>
  </si>
  <si>
    <t>75</t>
  </si>
  <si>
    <t>00005CF</t>
  </si>
  <si>
    <t>11:26:16</t>
  </si>
  <si>
    <t>73</t>
  </si>
  <si>
    <t>00004RN</t>
  </si>
  <si>
    <t>11:25:20</t>
  </si>
  <si>
    <t>68</t>
  </si>
  <si>
    <t>00004QZ</t>
  </si>
  <si>
    <t>11:23:41</t>
  </si>
  <si>
    <t>66</t>
  </si>
  <si>
    <t>0005027</t>
  </si>
  <si>
    <t>11:23:16</t>
  </si>
  <si>
    <t>63</t>
  </si>
  <si>
    <t>0005020</t>
  </si>
  <si>
    <t>11:20:56</t>
  </si>
  <si>
    <t>60</t>
  </si>
  <si>
    <t>0004971</t>
  </si>
  <si>
    <t>10:50:08</t>
  </si>
  <si>
    <t>57</t>
  </si>
  <si>
    <t>000040W</t>
  </si>
  <si>
    <t>10:23:54</t>
  </si>
  <si>
    <t>54</t>
  </si>
  <si>
    <t>000037V</t>
  </si>
  <si>
    <t>10:16:05</t>
  </si>
  <si>
    <t>51</t>
  </si>
  <si>
    <t>0003127</t>
  </si>
  <si>
    <t>贵州茅台</t>
  </si>
  <si>
    <t>10:12:09</t>
  </si>
  <si>
    <t>48</t>
  </si>
  <si>
    <t>600519</t>
  </si>
  <si>
    <t>0002954</t>
  </si>
  <si>
    <t>10:10:59</t>
  </si>
  <si>
    <t>41</t>
  </si>
  <si>
    <t>00002OQ</t>
  </si>
  <si>
    <t>10:10:43</t>
  </si>
  <si>
    <t>39</t>
  </si>
  <si>
    <t>00002OD</t>
  </si>
  <si>
    <t>10:09:54</t>
  </si>
  <si>
    <t>35</t>
  </si>
  <si>
    <t>00002N6</t>
  </si>
  <si>
    <t>10:09:18</t>
  </si>
  <si>
    <t>30</t>
  </si>
  <si>
    <t>00002MA</t>
  </si>
  <si>
    <t>10:08:01</t>
  </si>
  <si>
    <t>25</t>
  </si>
  <si>
    <t>00002K6</t>
  </si>
  <si>
    <t>10:06:35</t>
  </si>
  <si>
    <t>21</t>
  </si>
  <si>
    <t>0002695</t>
  </si>
  <si>
    <t>10:04:35</t>
  </si>
  <si>
    <t>16</t>
  </si>
  <si>
    <t>00002EV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</si>
</sst>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4"/>
  <sheetViews>
    <sheetView tabSelected="1" zoomScale="130" zoomScaleNormal="130" workbookViewId="0">
      <pane ySplit="1" topLeftCell="A2" activePane="bottomLeft" state="frozen"/>
      <selection pane="bottomLeft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39</v>
      </c>
      <c r="B2" s="7" t="s">
        <v>33</v>
      </c>
      <c r="C2" s="7">
        <v>31.09</v>
      </c>
      <c r="D2" s="7">
        <v>600</v>
      </c>
      <c r="E2" s="7">
        <v>31.09</v>
      </c>
      <c r="F2" s="7">
        <v>600</v>
      </c>
      <c r="G2" s="7" t="s">
        <v>29</v>
      </c>
      <c r="H2" s="7" t="s">
        <v>40</v>
      </c>
      <c r="I2" s="7" t="s">
        <v>41</v>
      </c>
      <c r="J2" s="7" t="s">
        <v>42</v>
      </c>
      <c r="K2" s="7" t="s">
        <v>38</v>
      </c>
      <c r="L2" s="7" t="s">
        <v>31</v>
      </c>
      <c r="M2" s="7" t="s">
        <v>32</v>
      </c>
      <c r="N2" s="7" t="s">
        <v>43</v>
      </c>
      <c r="O2" s="4"/>
    </row>
    <row r="3" spans="1:15" x14ac:dyDescent="0.15">
      <c r="A3" s="7" t="s">
        <v>39</v>
      </c>
      <c r="B3" s="7" t="s">
        <v>33</v>
      </c>
      <c r="C3" s="7">
        <v>31.21</v>
      </c>
      <c r="D3" s="7">
        <v>600</v>
      </c>
      <c r="E3" s="7">
        <v>31.21</v>
      </c>
      <c r="F3" s="7">
        <v>600</v>
      </c>
      <c r="G3" s="7" t="s">
        <v>29</v>
      </c>
      <c r="H3" s="7" t="s">
        <v>44</v>
      </c>
      <c r="I3" s="7" t="s">
        <v>45</v>
      </c>
      <c r="J3" s="7" t="s">
        <v>42</v>
      </c>
      <c r="K3" s="7" t="s">
        <v>38</v>
      </c>
      <c r="L3" s="7" t="s">
        <v>31</v>
      </c>
      <c r="M3" s="7" t="s">
        <v>32</v>
      </c>
      <c r="N3" s="7" t="s">
        <v>46</v>
      </c>
      <c r="O3" s="4"/>
    </row>
    <row r="4" spans="1:15" x14ac:dyDescent="0.15">
      <c r="A4" s="7" t="s">
        <v>47</v>
      </c>
      <c r="B4" s="7" t="s">
        <v>33</v>
      </c>
      <c r="C4" s="7">
        <v>33.159999999999997</v>
      </c>
      <c r="D4" s="7">
        <v>600</v>
      </c>
      <c r="E4" s="7">
        <v>33.159999999999997</v>
      </c>
      <c r="F4" s="7">
        <v>600</v>
      </c>
      <c r="G4" s="7" t="s">
        <v>29</v>
      </c>
      <c r="H4" s="7" t="s">
        <v>48</v>
      </c>
      <c r="I4" s="7" t="s">
        <v>49</v>
      </c>
      <c r="J4" s="7" t="s">
        <v>50</v>
      </c>
      <c r="K4" s="7" t="s">
        <v>38</v>
      </c>
      <c r="L4" s="7" t="s">
        <v>31</v>
      </c>
      <c r="M4" s="7" t="s">
        <v>32</v>
      </c>
      <c r="N4" s="7" t="s">
        <v>51</v>
      </c>
      <c r="O4" s="4"/>
    </row>
    <row r="5" spans="1:15" x14ac:dyDescent="0.15">
      <c r="A5" s="7" t="s">
        <v>47</v>
      </c>
      <c r="B5" s="7" t="s">
        <v>33</v>
      </c>
      <c r="C5" s="7">
        <v>33.22</v>
      </c>
      <c r="D5" s="7">
        <v>600</v>
      </c>
      <c r="E5" s="7">
        <v>33.22</v>
      </c>
      <c r="F5" s="7">
        <v>600</v>
      </c>
      <c r="G5" s="7" t="s">
        <v>29</v>
      </c>
      <c r="H5" s="7" t="s">
        <v>52</v>
      </c>
      <c r="I5" s="7" t="s">
        <v>53</v>
      </c>
      <c r="J5" s="7" t="s">
        <v>50</v>
      </c>
      <c r="K5" s="7" t="s">
        <v>38</v>
      </c>
      <c r="L5" s="7" t="s">
        <v>31</v>
      </c>
      <c r="M5" s="7" t="s">
        <v>32</v>
      </c>
      <c r="N5" s="7" t="s">
        <v>54</v>
      </c>
    </row>
    <row r="6" spans="1:15" x14ac:dyDescent="0.15">
      <c r="A6" s="7" t="s">
        <v>55</v>
      </c>
      <c r="B6" s="7" t="s">
        <v>33</v>
      </c>
      <c r="C6" s="7">
        <v>46.15</v>
      </c>
      <c r="D6" s="7">
        <v>400</v>
      </c>
      <c r="E6" s="7">
        <v>46.15</v>
      </c>
      <c r="F6" s="7">
        <v>400</v>
      </c>
      <c r="G6" s="7" t="s">
        <v>29</v>
      </c>
      <c r="H6" s="7" t="s">
        <v>56</v>
      </c>
      <c r="I6" s="7" t="s">
        <v>57</v>
      </c>
      <c r="J6" s="7" t="s">
        <v>58</v>
      </c>
      <c r="K6" s="7" t="s">
        <v>38</v>
      </c>
      <c r="L6" s="7" t="s">
        <v>31</v>
      </c>
      <c r="M6" s="7" t="s">
        <v>32</v>
      </c>
      <c r="N6" s="7" t="s">
        <v>59</v>
      </c>
    </row>
    <row r="7" spans="1:15" x14ac:dyDescent="0.15">
      <c r="A7" s="7" t="s">
        <v>47</v>
      </c>
      <c r="B7" s="7" t="s">
        <v>33</v>
      </c>
      <c r="C7" s="7">
        <v>33.270000000000003</v>
      </c>
      <c r="D7" s="7">
        <v>600</v>
      </c>
      <c r="E7" s="7">
        <v>33.270000000000003</v>
      </c>
      <c r="F7" s="7">
        <v>600</v>
      </c>
      <c r="G7" s="7" t="s">
        <v>29</v>
      </c>
      <c r="H7" s="7" t="s">
        <v>60</v>
      </c>
      <c r="I7" s="7" t="s">
        <v>61</v>
      </c>
      <c r="J7" s="7" t="s">
        <v>50</v>
      </c>
      <c r="K7" s="7" t="s">
        <v>38</v>
      </c>
      <c r="L7" s="7" t="s">
        <v>31</v>
      </c>
      <c r="M7" s="7" t="s">
        <v>32</v>
      </c>
      <c r="N7" s="7" t="s">
        <v>62</v>
      </c>
    </row>
    <row r="8" spans="1:15" x14ac:dyDescent="0.15">
      <c r="A8" s="7" t="s">
        <v>55</v>
      </c>
      <c r="B8" s="7" t="s">
        <v>33</v>
      </c>
      <c r="C8" s="7">
        <v>46.3</v>
      </c>
      <c r="D8" s="7">
        <v>400</v>
      </c>
      <c r="E8" s="7">
        <v>46.3</v>
      </c>
      <c r="F8" s="7">
        <v>400</v>
      </c>
      <c r="G8" s="7" t="s">
        <v>29</v>
      </c>
      <c r="H8" s="7" t="s">
        <v>63</v>
      </c>
      <c r="I8" s="7" t="s">
        <v>64</v>
      </c>
      <c r="J8" s="7" t="s">
        <v>58</v>
      </c>
      <c r="K8" s="7" t="s">
        <v>38</v>
      </c>
      <c r="L8" s="7" t="s">
        <v>31</v>
      </c>
      <c r="M8" s="7" t="s">
        <v>32</v>
      </c>
      <c r="N8" s="7" t="s">
        <v>65</v>
      </c>
    </row>
    <row r="9" spans="1:15" x14ac:dyDescent="0.15">
      <c r="A9" s="7" t="s">
        <v>55</v>
      </c>
      <c r="B9" s="7" t="s">
        <v>33</v>
      </c>
      <c r="C9" s="7">
        <v>46.39</v>
      </c>
      <c r="D9" s="7">
        <v>400</v>
      </c>
      <c r="E9" s="7">
        <v>46.39</v>
      </c>
      <c r="F9" s="7">
        <v>400</v>
      </c>
      <c r="G9" s="7" t="s">
        <v>29</v>
      </c>
      <c r="H9" s="7" t="s">
        <v>66</v>
      </c>
      <c r="I9" s="7" t="s">
        <v>67</v>
      </c>
      <c r="J9" s="7" t="s">
        <v>58</v>
      </c>
      <c r="K9" s="7" t="s">
        <v>38</v>
      </c>
      <c r="L9" s="7" t="s">
        <v>31</v>
      </c>
      <c r="M9" s="7" t="s">
        <v>32</v>
      </c>
      <c r="N9" s="7" t="s">
        <v>68</v>
      </c>
    </row>
    <row r="10" spans="1:15" x14ac:dyDescent="0.15">
      <c r="A10" s="7" t="s">
        <v>47</v>
      </c>
      <c r="B10" s="7" t="s">
        <v>33</v>
      </c>
      <c r="C10" s="7">
        <v>33.28</v>
      </c>
      <c r="D10" s="7">
        <v>600</v>
      </c>
      <c r="E10" s="7">
        <v>33.28</v>
      </c>
      <c r="F10" s="7">
        <v>600</v>
      </c>
      <c r="G10" s="7" t="s">
        <v>29</v>
      </c>
      <c r="H10" s="7" t="s">
        <v>69</v>
      </c>
      <c r="I10" s="7" t="s">
        <v>70</v>
      </c>
      <c r="J10" s="7" t="s">
        <v>50</v>
      </c>
      <c r="K10" s="7" t="s">
        <v>38</v>
      </c>
      <c r="L10" s="7" t="s">
        <v>31</v>
      </c>
      <c r="M10" s="7" t="s">
        <v>32</v>
      </c>
      <c r="N10" s="7" t="s">
        <v>71</v>
      </c>
    </row>
    <row r="11" spans="1:15" x14ac:dyDescent="0.15">
      <c r="A11" s="7" t="s">
        <v>47</v>
      </c>
      <c r="B11" s="7" t="s">
        <v>33</v>
      </c>
      <c r="C11" s="7">
        <v>33.44</v>
      </c>
      <c r="D11" s="7">
        <v>500</v>
      </c>
      <c r="E11" s="7">
        <v>33.44</v>
      </c>
      <c r="F11" s="7">
        <v>500</v>
      </c>
      <c r="G11" s="7" t="s">
        <v>29</v>
      </c>
      <c r="H11" s="7" t="s">
        <v>72</v>
      </c>
      <c r="I11" s="7" t="s">
        <v>73</v>
      </c>
      <c r="J11" s="7" t="s">
        <v>50</v>
      </c>
      <c r="K11" s="7" t="s">
        <v>38</v>
      </c>
      <c r="L11" s="7" t="s">
        <v>31</v>
      </c>
      <c r="M11" s="7" t="s">
        <v>32</v>
      </c>
      <c r="N11" s="7" t="s">
        <v>74</v>
      </c>
    </row>
    <row r="12" spans="1:15" x14ac:dyDescent="0.15">
      <c r="A12" s="7" t="s">
        <v>47</v>
      </c>
      <c r="B12" s="7" t="s">
        <v>33</v>
      </c>
      <c r="C12" s="7">
        <v>33.46</v>
      </c>
      <c r="D12" s="7">
        <v>500</v>
      </c>
      <c r="E12" s="7">
        <v>33.46</v>
      </c>
      <c r="F12" s="7">
        <v>500</v>
      </c>
      <c r="G12" s="7" t="s">
        <v>29</v>
      </c>
      <c r="H12" s="7" t="s">
        <v>75</v>
      </c>
      <c r="I12" s="7" t="s">
        <v>76</v>
      </c>
      <c r="J12" s="7" t="s">
        <v>50</v>
      </c>
      <c r="K12" s="7" t="s">
        <v>38</v>
      </c>
      <c r="L12" s="7" t="s">
        <v>31</v>
      </c>
      <c r="M12" s="7" t="s">
        <v>32</v>
      </c>
      <c r="N12" s="7" t="s">
        <v>77</v>
      </c>
    </row>
    <row r="13" spans="1:15" x14ac:dyDescent="0.15">
      <c r="A13" s="7" t="s">
        <v>39</v>
      </c>
      <c r="B13" s="7" t="s">
        <v>33</v>
      </c>
      <c r="C13" s="7">
        <v>31.24</v>
      </c>
      <c r="D13" s="7">
        <v>600</v>
      </c>
      <c r="E13" s="7">
        <v>31.24</v>
      </c>
      <c r="F13" s="7">
        <v>600</v>
      </c>
      <c r="G13" s="7" t="s">
        <v>29</v>
      </c>
      <c r="H13" s="7" t="s">
        <v>78</v>
      </c>
      <c r="I13" s="7" t="s">
        <v>79</v>
      </c>
      <c r="J13" s="7" t="s">
        <v>42</v>
      </c>
      <c r="K13" s="7" t="s">
        <v>38</v>
      </c>
      <c r="L13" s="7" t="s">
        <v>31</v>
      </c>
      <c r="M13" s="7" t="s">
        <v>32</v>
      </c>
      <c r="N13" s="7" t="s">
        <v>80</v>
      </c>
      <c r="O13" s="7"/>
    </row>
    <row r="14" spans="1:15" x14ac:dyDescent="0.15">
      <c r="A14" s="7" t="s">
        <v>34</v>
      </c>
      <c r="B14" s="7" t="s">
        <v>33</v>
      </c>
      <c r="C14" s="7">
        <v>27.37</v>
      </c>
      <c r="D14" s="7">
        <v>700</v>
      </c>
      <c r="E14" s="7">
        <v>27.37</v>
      </c>
      <c r="F14" s="7">
        <v>700</v>
      </c>
      <c r="G14" s="7" t="s">
        <v>29</v>
      </c>
      <c r="H14" s="7" t="s">
        <v>81</v>
      </c>
      <c r="I14" s="7" t="s">
        <v>82</v>
      </c>
      <c r="J14" s="7" t="s">
        <v>35</v>
      </c>
      <c r="K14" s="7" t="s">
        <v>30</v>
      </c>
      <c r="L14" s="7" t="s">
        <v>31</v>
      </c>
      <c r="M14" s="7" t="s">
        <v>32</v>
      </c>
      <c r="N14" s="7" t="s">
        <v>83</v>
      </c>
    </row>
    <row r="15" spans="1:15" x14ac:dyDescent="0.15">
      <c r="A15" s="7" t="s">
        <v>47</v>
      </c>
      <c r="B15" s="7" t="s">
        <v>33</v>
      </c>
      <c r="C15" s="7">
        <v>33.36</v>
      </c>
      <c r="D15" s="7">
        <v>500</v>
      </c>
      <c r="E15" s="7">
        <v>33.36</v>
      </c>
      <c r="F15" s="7">
        <v>500</v>
      </c>
      <c r="G15" s="7" t="s">
        <v>29</v>
      </c>
      <c r="H15" s="7" t="s">
        <v>84</v>
      </c>
      <c r="I15" s="7" t="s">
        <v>85</v>
      </c>
      <c r="J15" s="7" t="s">
        <v>50</v>
      </c>
      <c r="K15" s="7" t="s">
        <v>38</v>
      </c>
      <c r="L15" s="7" t="s">
        <v>31</v>
      </c>
      <c r="M15" s="7" t="s">
        <v>32</v>
      </c>
      <c r="N15" s="7" t="s">
        <v>86</v>
      </c>
    </row>
    <row r="16" spans="1:15" x14ac:dyDescent="0.15">
      <c r="A16" s="7" t="s">
        <v>34</v>
      </c>
      <c r="B16" s="7" t="s">
        <v>33</v>
      </c>
      <c r="C16" s="7">
        <v>27.36</v>
      </c>
      <c r="D16" s="7">
        <v>700</v>
      </c>
      <c r="E16" s="7">
        <v>27.36</v>
      </c>
      <c r="F16" s="7">
        <v>700</v>
      </c>
      <c r="G16" s="7" t="s">
        <v>29</v>
      </c>
      <c r="H16" s="7" t="s">
        <v>87</v>
      </c>
      <c r="I16" s="7" t="s">
        <v>88</v>
      </c>
      <c r="J16" s="7" t="s">
        <v>35</v>
      </c>
      <c r="K16" s="7" t="s">
        <v>30</v>
      </c>
      <c r="L16" s="7" t="s">
        <v>31</v>
      </c>
      <c r="M16" s="7" t="s">
        <v>32</v>
      </c>
      <c r="N16" s="7" t="s">
        <v>89</v>
      </c>
    </row>
    <row r="17" spans="1:15" x14ac:dyDescent="0.15">
      <c r="A17" s="7" t="s">
        <v>55</v>
      </c>
      <c r="B17" s="7" t="s">
        <v>33</v>
      </c>
      <c r="C17" s="7">
        <v>46.55</v>
      </c>
      <c r="D17" s="7">
        <v>400</v>
      </c>
      <c r="E17" s="7">
        <v>46.55</v>
      </c>
      <c r="F17" s="7">
        <v>400</v>
      </c>
      <c r="G17" s="7" t="s">
        <v>29</v>
      </c>
      <c r="H17" s="7" t="s">
        <v>90</v>
      </c>
      <c r="I17" s="7" t="s">
        <v>91</v>
      </c>
      <c r="J17" s="7" t="s">
        <v>58</v>
      </c>
      <c r="K17" s="7" t="s">
        <v>38</v>
      </c>
      <c r="L17" s="7" t="s">
        <v>31</v>
      </c>
      <c r="M17" s="7" t="s">
        <v>32</v>
      </c>
      <c r="N17" s="7" t="s">
        <v>92</v>
      </c>
    </row>
    <row r="18" spans="1:15" x14ac:dyDescent="0.15">
      <c r="A18" s="7" t="s">
        <v>47</v>
      </c>
      <c r="B18" s="7" t="s">
        <v>33</v>
      </c>
      <c r="C18" s="7">
        <v>33.4</v>
      </c>
      <c r="D18" s="7">
        <v>500</v>
      </c>
      <c r="E18" s="7">
        <v>33.4</v>
      </c>
      <c r="F18" s="7">
        <v>500</v>
      </c>
      <c r="G18" s="7" t="s">
        <v>29</v>
      </c>
      <c r="H18" s="7" t="s">
        <v>93</v>
      </c>
      <c r="I18" s="7" t="s">
        <v>94</v>
      </c>
      <c r="J18" s="7" t="s">
        <v>50</v>
      </c>
      <c r="K18" s="7" t="s">
        <v>38</v>
      </c>
      <c r="L18" s="7" t="s">
        <v>31</v>
      </c>
      <c r="M18" s="7" t="s">
        <v>32</v>
      </c>
      <c r="N18" s="7" t="s">
        <v>95</v>
      </c>
    </row>
    <row r="19" spans="1:15" x14ac:dyDescent="0.15">
      <c r="A19" s="7" t="s">
        <v>34</v>
      </c>
      <c r="B19" s="7" t="s">
        <v>33</v>
      </c>
      <c r="C19" s="7">
        <v>27.38</v>
      </c>
      <c r="D19" s="7">
        <v>700</v>
      </c>
      <c r="E19" s="7">
        <v>27.38</v>
      </c>
      <c r="F19" s="7">
        <v>700</v>
      </c>
      <c r="G19" s="7" t="s">
        <v>29</v>
      </c>
      <c r="H19" s="7" t="s">
        <v>96</v>
      </c>
      <c r="I19" s="7" t="s">
        <v>97</v>
      </c>
      <c r="J19" s="7" t="s">
        <v>35</v>
      </c>
      <c r="K19" s="7" t="s">
        <v>30</v>
      </c>
      <c r="L19" s="7" t="s">
        <v>31</v>
      </c>
      <c r="M19" s="7" t="s">
        <v>32</v>
      </c>
      <c r="N19" s="7" t="s">
        <v>98</v>
      </c>
      <c r="O19" s="7"/>
    </row>
    <row r="20" spans="1:15" x14ac:dyDescent="0.15">
      <c r="A20" s="7" t="s">
        <v>47</v>
      </c>
      <c r="B20" s="7" t="s">
        <v>33</v>
      </c>
      <c r="C20" s="7">
        <v>33.229999999999997</v>
      </c>
      <c r="D20" s="7">
        <v>600</v>
      </c>
      <c r="E20" s="7">
        <v>33.229999999999997</v>
      </c>
      <c r="F20" s="7">
        <v>600</v>
      </c>
      <c r="G20" s="7" t="s">
        <v>29</v>
      </c>
      <c r="H20" s="7" t="s">
        <v>99</v>
      </c>
      <c r="I20" s="7" t="s">
        <v>100</v>
      </c>
      <c r="J20" s="7" t="s">
        <v>50</v>
      </c>
      <c r="K20" s="7" t="s">
        <v>38</v>
      </c>
      <c r="L20" s="7" t="s">
        <v>31</v>
      </c>
      <c r="M20" s="7" t="s">
        <v>32</v>
      </c>
      <c r="N20" s="7" t="s">
        <v>101</v>
      </c>
    </row>
    <row r="21" spans="1:15" x14ac:dyDescent="0.15">
      <c r="A21" s="7" t="s">
        <v>47</v>
      </c>
      <c r="B21" s="7" t="s">
        <v>33</v>
      </c>
      <c r="C21" s="7">
        <v>33.19</v>
      </c>
      <c r="D21" s="7">
        <v>600</v>
      </c>
      <c r="E21" s="7">
        <v>33.19</v>
      </c>
      <c r="F21" s="7">
        <v>600</v>
      </c>
      <c r="G21" s="7" t="s">
        <v>29</v>
      </c>
      <c r="H21" s="7" t="s">
        <v>102</v>
      </c>
      <c r="I21" s="7" t="s">
        <v>103</v>
      </c>
      <c r="J21" s="7" t="s">
        <v>50</v>
      </c>
      <c r="K21" s="7" t="s">
        <v>38</v>
      </c>
      <c r="L21" s="7" t="s">
        <v>31</v>
      </c>
      <c r="M21" s="7" t="s">
        <v>32</v>
      </c>
      <c r="N21" s="7" t="s">
        <v>104</v>
      </c>
      <c r="O21" s="7">
        <f>+E21*F21/36</f>
        <v>553.16666666666663</v>
      </c>
    </row>
    <row r="22" spans="1:15" x14ac:dyDescent="0.15">
      <c r="A22" s="7" t="s">
        <v>55</v>
      </c>
      <c r="B22" s="7" t="s">
        <v>33</v>
      </c>
      <c r="C22" s="7">
        <v>46.64</v>
      </c>
      <c r="D22" s="7">
        <v>400</v>
      </c>
      <c r="E22" s="7">
        <v>46.64</v>
      </c>
      <c r="F22" s="7">
        <v>400</v>
      </c>
      <c r="G22" s="7" t="s">
        <v>29</v>
      </c>
      <c r="H22" s="7" t="s">
        <v>105</v>
      </c>
      <c r="I22" s="7" t="s">
        <v>106</v>
      </c>
      <c r="J22" s="7" t="s">
        <v>58</v>
      </c>
      <c r="K22" s="7" t="s">
        <v>38</v>
      </c>
      <c r="L22" s="7" t="s">
        <v>31</v>
      </c>
      <c r="M22" s="7" t="s">
        <v>32</v>
      </c>
      <c r="N22" s="7" t="s">
        <v>107</v>
      </c>
    </row>
    <row r="23" spans="1:15" x14ac:dyDescent="0.15">
      <c r="A23" s="7" t="s">
        <v>39</v>
      </c>
      <c r="B23" s="7" t="s">
        <v>33</v>
      </c>
      <c r="C23" s="7">
        <v>31.18</v>
      </c>
      <c r="D23" s="7">
        <v>600</v>
      </c>
      <c r="E23" s="7">
        <v>31.18</v>
      </c>
      <c r="F23" s="7">
        <v>600</v>
      </c>
      <c r="G23" s="7" t="s">
        <v>29</v>
      </c>
      <c r="H23" s="7" t="s">
        <v>108</v>
      </c>
      <c r="I23" s="7" t="s">
        <v>109</v>
      </c>
      <c r="J23" s="7" t="s">
        <v>42</v>
      </c>
      <c r="K23" s="7" t="s">
        <v>38</v>
      </c>
      <c r="L23" s="7" t="s">
        <v>31</v>
      </c>
      <c r="M23" s="7" t="s">
        <v>32</v>
      </c>
      <c r="N23" s="7" t="s">
        <v>110</v>
      </c>
    </row>
    <row r="24" spans="1:15" x14ac:dyDescent="0.15">
      <c r="A24" s="7" t="s">
        <v>47</v>
      </c>
      <c r="B24" s="7" t="s">
        <v>33</v>
      </c>
      <c r="C24" s="7">
        <v>33.49</v>
      </c>
      <c r="D24" s="7">
        <v>500</v>
      </c>
      <c r="E24" s="7">
        <v>33.49</v>
      </c>
      <c r="F24" s="7">
        <v>500</v>
      </c>
      <c r="G24" s="7" t="s">
        <v>29</v>
      </c>
      <c r="H24" s="7" t="s">
        <v>111</v>
      </c>
      <c r="I24" s="7" t="s">
        <v>112</v>
      </c>
      <c r="J24" s="7" t="s">
        <v>50</v>
      </c>
      <c r="K24" s="7" t="s">
        <v>38</v>
      </c>
      <c r="L24" s="7" t="s">
        <v>31</v>
      </c>
      <c r="M24" s="7" t="s">
        <v>32</v>
      </c>
      <c r="N24" s="7" t="s">
        <v>113</v>
      </c>
    </row>
    <row r="25" spans="1:15" x14ac:dyDescent="0.15">
      <c r="A25" s="7" t="s">
        <v>55</v>
      </c>
      <c r="B25" s="7" t="s">
        <v>33</v>
      </c>
      <c r="C25" s="7">
        <v>46.6</v>
      </c>
      <c r="D25" s="7">
        <v>400</v>
      </c>
      <c r="E25" s="7">
        <v>46.6</v>
      </c>
      <c r="F25" s="7">
        <v>400</v>
      </c>
      <c r="G25" s="7" t="s">
        <v>29</v>
      </c>
      <c r="H25" s="7" t="s">
        <v>114</v>
      </c>
      <c r="I25" s="7" t="s">
        <v>115</v>
      </c>
      <c r="J25" s="7" t="s">
        <v>58</v>
      </c>
      <c r="K25" s="7" t="s">
        <v>38</v>
      </c>
      <c r="L25" s="7" t="s">
        <v>31</v>
      </c>
      <c r="M25" s="7" t="s">
        <v>32</v>
      </c>
      <c r="N25" s="7" t="s">
        <v>116</v>
      </c>
    </row>
    <row r="26" spans="1:15" x14ac:dyDescent="0.15">
      <c r="A26" s="7" t="s">
        <v>55</v>
      </c>
      <c r="B26" s="7" t="s">
        <v>33</v>
      </c>
      <c r="C26" s="7">
        <v>46.78</v>
      </c>
      <c r="D26" s="7">
        <v>400</v>
      </c>
      <c r="E26" s="7">
        <v>46.78</v>
      </c>
      <c r="F26" s="7">
        <v>400</v>
      </c>
      <c r="G26" s="7" t="s">
        <v>29</v>
      </c>
      <c r="H26" s="7" t="s">
        <v>117</v>
      </c>
      <c r="I26" s="7" t="s">
        <v>118</v>
      </c>
      <c r="J26" s="7" t="s">
        <v>58</v>
      </c>
      <c r="K26" s="7" t="s">
        <v>38</v>
      </c>
      <c r="L26" s="7" t="s">
        <v>31</v>
      </c>
      <c r="M26" s="7" t="s">
        <v>32</v>
      </c>
      <c r="N26" s="7" t="s">
        <v>119</v>
      </c>
    </row>
    <row r="27" spans="1:15" x14ac:dyDescent="0.15">
      <c r="A27" s="7" t="s">
        <v>34</v>
      </c>
      <c r="B27" s="7" t="s">
        <v>33</v>
      </c>
      <c r="C27" s="7">
        <v>27.39</v>
      </c>
      <c r="D27" s="7">
        <v>700</v>
      </c>
      <c r="E27" s="7">
        <v>27.39</v>
      </c>
      <c r="F27" s="7">
        <v>700</v>
      </c>
      <c r="G27" s="7" t="s">
        <v>29</v>
      </c>
      <c r="H27" s="7" t="s">
        <v>120</v>
      </c>
      <c r="I27" s="7" t="s">
        <v>121</v>
      </c>
      <c r="J27" s="7" t="s">
        <v>35</v>
      </c>
      <c r="K27" s="7" t="s">
        <v>30</v>
      </c>
      <c r="L27" s="7" t="s">
        <v>31</v>
      </c>
      <c r="M27" s="7" t="s">
        <v>32</v>
      </c>
      <c r="N27" s="7" t="s">
        <v>122</v>
      </c>
    </row>
    <row r="28" spans="1:15" x14ac:dyDescent="0.15">
      <c r="A28" s="7" t="s">
        <v>34</v>
      </c>
      <c r="B28" s="7" t="s">
        <v>33</v>
      </c>
      <c r="C28" s="7">
        <v>27.39</v>
      </c>
      <c r="D28" s="7">
        <v>700</v>
      </c>
      <c r="E28" s="7">
        <v>27.39</v>
      </c>
      <c r="F28" s="7">
        <v>700</v>
      </c>
      <c r="G28" s="7" t="s">
        <v>29</v>
      </c>
      <c r="H28" s="7" t="s">
        <v>123</v>
      </c>
      <c r="I28" s="7" t="s">
        <v>124</v>
      </c>
      <c r="J28" s="7" t="s">
        <v>35</v>
      </c>
      <c r="K28" s="7" t="s">
        <v>30</v>
      </c>
      <c r="L28" s="7" t="s">
        <v>31</v>
      </c>
      <c r="M28" s="7" t="s">
        <v>32</v>
      </c>
      <c r="N28" s="7" t="s">
        <v>125</v>
      </c>
    </row>
    <row r="29" spans="1:15" x14ac:dyDescent="0.15">
      <c r="A29" s="7" t="s">
        <v>34</v>
      </c>
      <c r="B29" s="7" t="s">
        <v>33</v>
      </c>
      <c r="C29" s="7">
        <v>27.5</v>
      </c>
      <c r="D29" s="7">
        <v>700</v>
      </c>
      <c r="E29" s="7">
        <v>27.5</v>
      </c>
      <c r="F29" s="7">
        <v>700</v>
      </c>
      <c r="G29" s="7" t="s">
        <v>29</v>
      </c>
      <c r="H29" s="7" t="s">
        <v>126</v>
      </c>
      <c r="I29" s="7" t="s">
        <v>127</v>
      </c>
      <c r="J29" s="7" t="s">
        <v>35</v>
      </c>
      <c r="K29" s="7" t="s">
        <v>30</v>
      </c>
      <c r="L29" s="7" t="s">
        <v>31</v>
      </c>
      <c r="M29" s="7" t="s">
        <v>32</v>
      </c>
      <c r="N29" s="7" t="s">
        <v>128</v>
      </c>
    </row>
    <row r="30" spans="1:15" x14ac:dyDescent="0.15">
      <c r="A30" s="7" t="s">
        <v>47</v>
      </c>
      <c r="B30" s="7" t="s">
        <v>33</v>
      </c>
      <c r="C30" s="7">
        <v>33.700000000000003</v>
      </c>
      <c r="D30" s="7">
        <v>500</v>
      </c>
      <c r="E30" s="7">
        <v>33.700000000000003</v>
      </c>
      <c r="F30" s="7">
        <v>500</v>
      </c>
      <c r="G30" s="7" t="s">
        <v>29</v>
      </c>
      <c r="H30" s="7" t="s">
        <v>129</v>
      </c>
      <c r="I30" s="7" t="s">
        <v>130</v>
      </c>
      <c r="J30" s="7" t="s">
        <v>50</v>
      </c>
      <c r="K30" s="7" t="s">
        <v>38</v>
      </c>
      <c r="L30" s="7" t="s">
        <v>31</v>
      </c>
      <c r="M30" s="7" t="s">
        <v>32</v>
      </c>
      <c r="N30" s="7" t="s">
        <v>131</v>
      </c>
    </row>
    <row r="31" spans="1:15" x14ac:dyDescent="0.15">
      <c r="A31" s="7" t="s">
        <v>55</v>
      </c>
      <c r="B31" s="7" t="s">
        <v>33</v>
      </c>
      <c r="C31" s="7">
        <v>46.91</v>
      </c>
      <c r="D31" s="7">
        <v>500</v>
      </c>
      <c r="E31" s="7">
        <v>46.91</v>
      </c>
      <c r="F31" s="7">
        <v>500</v>
      </c>
      <c r="G31" s="7" t="s">
        <v>29</v>
      </c>
      <c r="H31" s="7" t="s">
        <v>132</v>
      </c>
      <c r="I31" s="7" t="s">
        <v>133</v>
      </c>
      <c r="J31" s="7" t="s">
        <v>58</v>
      </c>
      <c r="K31" s="7" t="s">
        <v>38</v>
      </c>
      <c r="L31" s="7" t="s">
        <v>31</v>
      </c>
      <c r="M31" s="7" t="s">
        <v>32</v>
      </c>
      <c r="N31" s="7" t="s">
        <v>134</v>
      </c>
    </row>
    <row r="32" spans="1:15" x14ac:dyDescent="0.15">
      <c r="A32" s="7" t="s">
        <v>36</v>
      </c>
      <c r="B32" s="7" t="s">
        <v>33</v>
      </c>
      <c r="C32" s="7">
        <v>25.87</v>
      </c>
      <c r="D32" s="7">
        <v>1000</v>
      </c>
      <c r="E32" s="7">
        <v>25.87</v>
      </c>
      <c r="F32" s="7">
        <v>1000</v>
      </c>
      <c r="G32" s="7" t="s">
        <v>29</v>
      </c>
      <c r="H32" s="7" t="s">
        <v>135</v>
      </c>
      <c r="I32" s="7" t="s">
        <v>136</v>
      </c>
      <c r="J32" s="7" t="s">
        <v>37</v>
      </c>
      <c r="K32" s="7" t="s">
        <v>30</v>
      </c>
      <c r="L32" s="7" t="s">
        <v>31</v>
      </c>
      <c r="M32" s="7" t="s">
        <v>32</v>
      </c>
      <c r="N32" s="7" t="s">
        <v>137</v>
      </c>
    </row>
    <row r="33" spans="1:15" x14ac:dyDescent="0.15">
      <c r="A33" s="7" t="s">
        <v>138</v>
      </c>
      <c r="B33" s="7" t="s">
        <v>33</v>
      </c>
      <c r="C33" s="7">
        <v>477.8</v>
      </c>
      <c r="D33" s="7">
        <v>100</v>
      </c>
      <c r="E33" s="7">
        <v>477.8</v>
      </c>
      <c r="F33" s="7">
        <v>100</v>
      </c>
      <c r="G33" s="7" t="s">
        <v>29</v>
      </c>
      <c r="H33" s="7" t="s">
        <v>139</v>
      </c>
      <c r="I33" s="7" t="s">
        <v>140</v>
      </c>
      <c r="J33" s="7" t="s">
        <v>141</v>
      </c>
      <c r="K33" s="7" t="s">
        <v>30</v>
      </c>
      <c r="L33" s="7" t="s">
        <v>31</v>
      </c>
      <c r="M33" s="7" t="s">
        <v>32</v>
      </c>
      <c r="N33" s="7" t="s">
        <v>142</v>
      </c>
      <c r="O33">
        <f>+E33*F33/36</f>
        <v>1327.2222222222222</v>
      </c>
    </row>
    <row r="34" spans="1:15" x14ac:dyDescent="0.15">
      <c r="A34" t="s">
        <v>55</v>
      </c>
      <c r="B34" t="s">
        <v>33</v>
      </c>
      <c r="C34">
        <v>46.97</v>
      </c>
      <c r="D34">
        <v>500</v>
      </c>
      <c r="E34">
        <v>46.968000000000004</v>
      </c>
      <c r="F34">
        <v>500</v>
      </c>
      <c r="G34" t="s">
        <v>29</v>
      </c>
      <c r="H34" t="s">
        <v>143</v>
      </c>
      <c r="I34" t="s">
        <v>144</v>
      </c>
      <c r="J34" t="s">
        <v>58</v>
      </c>
      <c r="K34" t="s">
        <v>38</v>
      </c>
      <c r="L34" t="s">
        <v>31</v>
      </c>
      <c r="M34" t="s">
        <v>32</v>
      </c>
      <c r="N34" t="s">
        <v>145</v>
      </c>
    </row>
    <row r="35" spans="1:15" x14ac:dyDescent="0.15">
      <c r="A35" t="s">
        <v>55</v>
      </c>
      <c r="B35" t="s">
        <v>33</v>
      </c>
      <c r="C35">
        <v>46.9</v>
      </c>
      <c r="D35">
        <v>500</v>
      </c>
      <c r="E35">
        <v>46.9</v>
      </c>
      <c r="F35">
        <v>500</v>
      </c>
      <c r="G35" t="s">
        <v>29</v>
      </c>
      <c r="H35" t="s">
        <v>146</v>
      </c>
      <c r="I35" t="s">
        <v>147</v>
      </c>
      <c r="J35" t="s">
        <v>58</v>
      </c>
      <c r="K35" t="s">
        <v>38</v>
      </c>
      <c r="L35" t="s">
        <v>31</v>
      </c>
      <c r="M35" t="s">
        <v>32</v>
      </c>
      <c r="N35" t="s">
        <v>148</v>
      </c>
    </row>
    <row r="36" spans="1:15" x14ac:dyDescent="0.15">
      <c r="A36" t="s">
        <v>39</v>
      </c>
      <c r="B36" t="s">
        <v>33</v>
      </c>
      <c r="C36">
        <v>31.3</v>
      </c>
      <c r="D36">
        <v>1500</v>
      </c>
      <c r="E36">
        <v>31.28</v>
      </c>
      <c r="F36">
        <v>1500</v>
      </c>
      <c r="G36" t="s">
        <v>29</v>
      </c>
      <c r="H36" t="s">
        <v>149</v>
      </c>
      <c r="I36" t="s">
        <v>150</v>
      </c>
      <c r="J36" t="s">
        <v>42</v>
      </c>
      <c r="K36" t="s">
        <v>38</v>
      </c>
      <c r="L36" t="s">
        <v>31</v>
      </c>
      <c r="M36" t="s">
        <v>32</v>
      </c>
      <c r="N36" t="s">
        <v>151</v>
      </c>
    </row>
    <row r="37" spans="1:15" x14ac:dyDescent="0.15">
      <c r="A37" t="s">
        <v>39</v>
      </c>
      <c r="B37" t="s">
        <v>33</v>
      </c>
      <c r="C37">
        <v>31.27</v>
      </c>
      <c r="D37">
        <v>700</v>
      </c>
      <c r="E37">
        <v>31.27</v>
      </c>
      <c r="F37">
        <v>700</v>
      </c>
      <c r="G37" t="s">
        <v>29</v>
      </c>
      <c r="H37" t="s">
        <v>152</v>
      </c>
      <c r="I37" t="s">
        <v>153</v>
      </c>
      <c r="J37" t="s">
        <v>42</v>
      </c>
      <c r="K37" t="s">
        <v>38</v>
      </c>
      <c r="L37" t="s">
        <v>31</v>
      </c>
      <c r="M37" t="s">
        <v>32</v>
      </c>
      <c r="N37" t="s">
        <v>154</v>
      </c>
    </row>
    <row r="38" spans="1:15" x14ac:dyDescent="0.15">
      <c r="A38" t="s">
        <v>47</v>
      </c>
      <c r="B38" t="s">
        <v>33</v>
      </c>
      <c r="C38">
        <v>33.909999999999997</v>
      </c>
      <c r="D38">
        <v>700</v>
      </c>
      <c r="E38">
        <v>33.901000000000003</v>
      </c>
      <c r="F38">
        <v>700</v>
      </c>
      <c r="G38" t="s">
        <v>29</v>
      </c>
      <c r="H38" t="s">
        <v>155</v>
      </c>
      <c r="I38" t="s">
        <v>156</v>
      </c>
      <c r="J38" t="s">
        <v>50</v>
      </c>
      <c r="K38" t="s">
        <v>38</v>
      </c>
      <c r="L38" t="s">
        <v>31</v>
      </c>
      <c r="M38" t="s">
        <v>32</v>
      </c>
      <c r="N38" t="s">
        <v>157</v>
      </c>
    </row>
    <row r="39" spans="1:15" x14ac:dyDescent="0.15">
      <c r="A39" t="s">
        <v>34</v>
      </c>
      <c r="B39" t="s">
        <v>33</v>
      </c>
      <c r="C39">
        <v>27.63</v>
      </c>
      <c r="D39">
        <v>900</v>
      </c>
      <c r="E39">
        <v>27.6</v>
      </c>
      <c r="F39">
        <v>900</v>
      </c>
      <c r="G39" t="s">
        <v>29</v>
      </c>
      <c r="H39" t="s">
        <v>158</v>
      </c>
      <c r="I39" t="s">
        <v>159</v>
      </c>
      <c r="J39" t="s">
        <v>35</v>
      </c>
      <c r="K39" t="s">
        <v>30</v>
      </c>
      <c r="L39" t="s">
        <v>31</v>
      </c>
      <c r="M39" t="s">
        <v>32</v>
      </c>
      <c r="N39" t="s">
        <v>160</v>
      </c>
    </row>
    <row r="40" spans="1:15" x14ac:dyDescent="0.15">
      <c r="A40" t="s">
        <v>55</v>
      </c>
      <c r="B40" t="s">
        <v>33</v>
      </c>
      <c r="C40">
        <v>47.28</v>
      </c>
      <c r="D40">
        <v>500</v>
      </c>
      <c r="E40">
        <v>47.28</v>
      </c>
      <c r="F40">
        <v>500</v>
      </c>
      <c r="G40" t="s">
        <v>29</v>
      </c>
      <c r="H40" t="s">
        <v>161</v>
      </c>
      <c r="I40" t="s">
        <v>162</v>
      </c>
      <c r="J40" t="s">
        <v>58</v>
      </c>
      <c r="K40" t="s">
        <v>38</v>
      </c>
      <c r="L40" t="s">
        <v>31</v>
      </c>
      <c r="M40" t="s">
        <v>32</v>
      </c>
      <c r="N40" t="s">
        <v>163</v>
      </c>
    </row>
    <row r="54" spans="15:15" x14ac:dyDescent="0.15">
      <c r="O54" s="7">
        <f>+E54*F54/36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8"/>
  <sheetViews>
    <sheetView zoomScale="115" zoomScaleNormal="115" workbookViewId="0">
      <pane xSplit="1" ySplit="1" topLeftCell="B17" activePane="bottomRight" state="frozen"/>
      <selection pane="topRight" activeCell="B1" sqref="B1"/>
      <selection pane="bottomLeft" activeCell="A2" sqref="A2"/>
      <selection pane="bottomRight" activeCell="H43" sqref="H43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42914</v>
      </c>
      <c r="B2" s="5" t="str">
        <f>'20161118 当日委托查询'!H2</f>
        <v>14:46:43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002415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600</v>
      </c>
      <c r="L2" s="7">
        <v>1</v>
      </c>
      <c r="M2" s="7">
        <f>'20161118 当日委托查询'!E2</f>
        <v>31.09</v>
      </c>
    </row>
    <row r="3" spans="1:25" x14ac:dyDescent="0.15">
      <c r="A3" s="2">
        <f t="shared" ca="1" si="0"/>
        <v>42914</v>
      </c>
      <c r="B3" s="5" t="str">
        <f>'20161118 当日委托查询'!H3</f>
        <v>14:14:53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002415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600</v>
      </c>
      <c r="L3" s="7">
        <v>1</v>
      </c>
      <c r="M3" s="7">
        <f>'20161118 当日委托查询'!E3</f>
        <v>31.21</v>
      </c>
    </row>
    <row r="4" spans="1:25" x14ac:dyDescent="0.15">
      <c r="A4" s="2">
        <f t="shared" ca="1" si="0"/>
        <v>42914</v>
      </c>
      <c r="B4" s="5" t="str">
        <f>'20161118 当日委托查询'!H4</f>
        <v>13:47:28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002008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600</v>
      </c>
      <c r="L4" s="7">
        <v>1</v>
      </c>
      <c r="M4" s="7">
        <f>'20161118 当日委托查询'!E4</f>
        <v>33.159999999999997</v>
      </c>
    </row>
    <row r="5" spans="1:25" x14ac:dyDescent="0.15">
      <c r="A5" s="2">
        <f t="shared" ca="1" si="0"/>
        <v>42914</v>
      </c>
      <c r="B5" s="5" t="str">
        <f>'20161118 当日委托查询'!H5</f>
        <v>13:45:27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002008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600</v>
      </c>
      <c r="L5" s="7">
        <v>1</v>
      </c>
      <c r="M5" s="7">
        <f>'20161118 当日委托查询'!E5</f>
        <v>33.22</v>
      </c>
    </row>
    <row r="6" spans="1:25" x14ac:dyDescent="0.15">
      <c r="A6" s="2">
        <f t="shared" ca="1" si="0"/>
        <v>42914</v>
      </c>
      <c r="B6" s="5" t="str">
        <f>'20161118 当日委托查询'!H6</f>
        <v>13:44:32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000418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400</v>
      </c>
      <c r="L6" s="7">
        <v>1</v>
      </c>
      <c r="M6" s="7">
        <f>'20161118 当日委托查询'!E6</f>
        <v>46.15</v>
      </c>
    </row>
    <row r="7" spans="1:25" x14ac:dyDescent="0.15">
      <c r="A7" s="2">
        <f t="shared" ca="1" si="0"/>
        <v>42914</v>
      </c>
      <c r="B7" s="5" t="str">
        <f>'20161118 当日委托查询'!H7</f>
        <v>13:43:15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002008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600</v>
      </c>
      <c r="L7" s="7">
        <v>1</v>
      </c>
      <c r="M7" s="7">
        <f>'20161118 当日委托查询'!E7</f>
        <v>33.270000000000003</v>
      </c>
    </row>
    <row r="8" spans="1:25" x14ac:dyDescent="0.15">
      <c r="A8" s="2">
        <f t="shared" ca="1" si="0"/>
        <v>42914</v>
      </c>
      <c r="B8" s="5" t="str">
        <f>'20161118 当日委托查询'!H8</f>
        <v>13:42:53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000418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400</v>
      </c>
      <c r="L8" s="7">
        <v>1</v>
      </c>
      <c r="M8" s="7">
        <f>'20161118 当日委托查询'!E8</f>
        <v>46.3</v>
      </c>
    </row>
    <row r="9" spans="1:25" x14ac:dyDescent="0.15">
      <c r="A9" s="2">
        <f t="shared" ca="1" si="0"/>
        <v>42914</v>
      </c>
      <c r="B9" s="5" t="str">
        <f>'20161118 当日委托查询'!H9</f>
        <v>13:39:51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000418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400</v>
      </c>
      <c r="L9" s="7">
        <v>1</v>
      </c>
      <c r="M9" s="7">
        <f>'20161118 当日委托查询'!E9</f>
        <v>46.39</v>
      </c>
    </row>
    <row r="10" spans="1:25" x14ac:dyDescent="0.15">
      <c r="A10" s="2">
        <f t="shared" ca="1" si="0"/>
        <v>42914</v>
      </c>
      <c r="B10" s="5" t="str">
        <f>'20161118 当日委托查询'!H10</f>
        <v>13:36:07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002008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600</v>
      </c>
      <c r="L10" s="7">
        <v>1</v>
      </c>
      <c r="M10" s="7">
        <f>'20161118 当日委托查询'!E10</f>
        <v>33.28</v>
      </c>
    </row>
    <row r="11" spans="1:25" x14ac:dyDescent="0.15">
      <c r="A11" s="2">
        <f t="shared" ca="1" si="0"/>
        <v>42914</v>
      </c>
      <c r="B11" s="5" t="str">
        <f>'20161118 当日委托查询'!H11</f>
        <v>13:33:09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002008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500</v>
      </c>
      <c r="L11" s="7">
        <v>1</v>
      </c>
      <c r="M11" s="7">
        <f>'20161118 当日委托查询'!E11</f>
        <v>33.44</v>
      </c>
    </row>
    <row r="12" spans="1:25" x14ac:dyDescent="0.15">
      <c r="A12" s="2">
        <f t="shared" ca="1" si="0"/>
        <v>42914</v>
      </c>
      <c r="B12" s="5" t="str">
        <f>'20161118 当日委托查询'!H12</f>
        <v>13:32:23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002008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500</v>
      </c>
      <c r="L12" s="7">
        <v>1</v>
      </c>
      <c r="M12" s="7">
        <f>'20161118 当日委托查询'!E12</f>
        <v>33.46</v>
      </c>
    </row>
    <row r="13" spans="1:25" x14ac:dyDescent="0.15">
      <c r="A13" s="2">
        <f t="shared" ca="1" si="0"/>
        <v>42914</v>
      </c>
      <c r="B13" s="5" t="str">
        <f>'20161118 当日委托查询'!H13</f>
        <v>13:30:43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002415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600</v>
      </c>
      <c r="L13" s="7">
        <v>1</v>
      </c>
      <c r="M13" s="7">
        <f>'20161118 当日委托查询'!E13</f>
        <v>31.24</v>
      </c>
    </row>
    <row r="14" spans="1:25" x14ac:dyDescent="0.15">
      <c r="A14" s="2">
        <f t="shared" ca="1" si="0"/>
        <v>42914</v>
      </c>
      <c r="B14" s="5" t="str">
        <f>'20161118 当日委托查询'!H14</f>
        <v>13:30:25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601238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700</v>
      </c>
      <c r="L14" s="7">
        <v>1</v>
      </c>
      <c r="M14" s="7">
        <f>'20161118 当日委托查询'!E14</f>
        <v>27.37</v>
      </c>
    </row>
    <row r="15" spans="1:25" x14ac:dyDescent="0.15">
      <c r="A15" s="2">
        <f t="shared" ca="1" si="0"/>
        <v>42914</v>
      </c>
      <c r="B15" s="5" t="str">
        <f>'20161118 当日委托查询'!H15</f>
        <v>13:29:01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002008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500</v>
      </c>
      <c r="L15" s="7">
        <v>1</v>
      </c>
      <c r="M15" s="7">
        <f>'20161118 当日委托查询'!E15</f>
        <v>33.36</v>
      </c>
    </row>
    <row r="16" spans="1:25" x14ac:dyDescent="0.15">
      <c r="A16" s="2">
        <f t="shared" ca="1" si="0"/>
        <v>42914</v>
      </c>
      <c r="B16" s="5" t="str">
        <f>'20161118 当日委托查询'!H16</f>
        <v>13:23:50</v>
      </c>
      <c r="C16" s="7" t="s">
        <v>25</v>
      </c>
      <c r="D16" s="7" t="s">
        <v>26</v>
      </c>
      <c r="E16" s="7" t="s">
        <v>27</v>
      </c>
      <c r="F16" s="7"/>
      <c r="G16" s="7"/>
      <c r="H16" s="7" t="str">
        <f>'20161118 当日委托查询'!J16</f>
        <v>601238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700</v>
      </c>
      <c r="L16" s="7">
        <v>1</v>
      </c>
      <c r="M16" s="7">
        <f>'20161118 当日委托查询'!E16</f>
        <v>27.36</v>
      </c>
    </row>
    <row r="17" spans="1:13" x14ac:dyDescent="0.15">
      <c r="A17" s="2">
        <f t="shared" ca="1" si="0"/>
        <v>42914</v>
      </c>
      <c r="B17" s="5" t="str">
        <f>'20161118 当日委托查询'!H17</f>
        <v>13:23:40</v>
      </c>
      <c r="C17" s="7" t="s">
        <v>25</v>
      </c>
      <c r="D17" s="7" t="s">
        <v>26</v>
      </c>
      <c r="E17" s="7" t="s">
        <v>27</v>
      </c>
      <c r="F17" s="7"/>
      <c r="G17" s="7"/>
      <c r="H17" s="7" t="str">
        <f>'20161118 当日委托查询'!J17</f>
        <v>000418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400</v>
      </c>
      <c r="L17" s="7">
        <v>1</v>
      </c>
      <c r="M17" s="7">
        <f>'20161118 当日委托查询'!E17</f>
        <v>46.55</v>
      </c>
    </row>
    <row r="18" spans="1:13" x14ac:dyDescent="0.15">
      <c r="A18" s="2">
        <f t="shared" ca="1" si="0"/>
        <v>42914</v>
      </c>
      <c r="B18" s="5" t="str">
        <f>'20161118 当日委托查询'!H18</f>
        <v>13:21:31</v>
      </c>
      <c r="C18" s="7" t="s">
        <v>25</v>
      </c>
      <c r="D18" s="7" t="s">
        <v>26</v>
      </c>
      <c r="E18" s="7" t="s">
        <v>27</v>
      </c>
      <c r="F18" s="7"/>
      <c r="G18" s="7"/>
      <c r="H18" s="7" t="str">
        <f>'20161118 当日委托查询'!J18</f>
        <v>002008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500</v>
      </c>
      <c r="L18" s="7">
        <v>1</v>
      </c>
      <c r="M18" s="7">
        <f>'20161118 当日委托查询'!E18</f>
        <v>33.4</v>
      </c>
    </row>
    <row r="19" spans="1:13" x14ac:dyDescent="0.15">
      <c r="A19" s="2">
        <f t="shared" ca="1" si="0"/>
        <v>42914</v>
      </c>
      <c r="B19" s="5" t="str">
        <f>'20161118 当日委托查询'!H19</f>
        <v>13:20:50</v>
      </c>
      <c r="C19" s="7" t="s">
        <v>25</v>
      </c>
      <c r="D19" s="7" t="s">
        <v>26</v>
      </c>
      <c r="E19" s="7" t="s">
        <v>27</v>
      </c>
      <c r="F19" s="7"/>
      <c r="G19" s="7"/>
      <c r="H19" s="7" t="str">
        <f>'20161118 当日委托查询'!J19</f>
        <v>601238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700</v>
      </c>
      <c r="L19" s="7">
        <v>1</v>
      </c>
      <c r="M19" s="7">
        <f>'20161118 当日委托查询'!E19</f>
        <v>27.38</v>
      </c>
    </row>
    <row r="20" spans="1:13" x14ac:dyDescent="0.15">
      <c r="A20" s="2">
        <f t="shared" ca="1" si="0"/>
        <v>42914</v>
      </c>
      <c r="B20" s="5" t="str">
        <f>'20161118 当日委托查询'!H20</f>
        <v>13:18:45</v>
      </c>
      <c r="C20" s="7" t="s">
        <v>25</v>
      </c>
      <c r="D20" s="7" t="s">
        <v>26</v>
      </c>
      <c r="E20" s="7" t="s">
        <v>27</v>
      </c>
      <c r="F20" s="7"/>
      <c r="G20" s="7"/>
      <c r="H20" s="7" t="str">
        <f>'20161118 当日委托查询'!J20</f>
        <v>002008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600</v>
      </c>
      <c r="L20" s="7">
        <v>1</v>
      </c>
      <c r="M20" s="7">
        <f>'20161118 当日委托查询'!E20</f>
        <v>33.229999999999997</v>
      </c>
    </row>
    <row r="21" spans="1:13" x14ac:dyDescent="0.15">
      <c r="A21" s="2">
        <f t="shared" ca="1" si="0"/>
        <v>42914</v>
      </c>
      <c r="B21" s="5" t="str">
        <f>'20161118 当日委托查询'!H21</f>
        <v>13:18:32</v>
      </c>
      <c r="C21" s="7" t="s">
        <v>25</v>
      </c>
      <c r="D21" s="7" t="s">
        <v>26</v>
      </c>
      <c r="E21" s="7" t="s">
        <v>27</v>
      </c>
      <c r="F21" s="7"/>
      <c r="G21" s="7"/>
      <c r="H21" s="7" t="str">
        <f>'20161118 当日委托查询'!J21</f>
        <v>002008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600</v>
      </c>
      <c r="L21" s="7">
        <v>1</v>
      </c>
      <c r="M21" s="7">
        <f>'20161118 当日委托查询'!E21</f>
        <v>33.19</v>
      </c>
    </row>
    <row r="22" spans="1:13" x14ac:dyDescent="0.15">
      <c r="A22" s="2">
        <f t="shared" ca="1" si="0"/>
        <v>42914</v>
      </c>
      <c r="B22" s="5" t="str">
        <f>'20161118 当日委托查询'!H22</f>
        <v>13:18:07</v>
      </c>
      <c r="C22" s="7" t="s">
        <v>25</v>
      </c>
      <c r="D22" s="7" t="s">
        <v>26</v>
      </c>
      <c r="E22" s="7" t="s">
        <v>27</v>
      </c>
      <c r="F22" s="7"/>
      <c r="G22" s="7"/>
      <c r="H22" s="7" t="str">
        <f>'20161118 当日委托查询'!J22</f>
        <v>000418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400</v>
      </c>
      <c r="L22" s="7">
        <v>1</v>
      </c>
      <c r="M22" s="7">
        <f>'20161118 当日委托查询'!E22</f>
        <v>46.64</v>
      </c>
    </row>
    <row r="23" spans="1:13" x14ac:dyDescent="0.15">
      <c r="A23" s="2">
        <f t="shared" ca="1" si="0"/>
        <v>42914</v>
      </c>
      <c r="B23" s="5" t="str">
        <f>'20161118 当日委托查询'!H23</f>
        <v>13:17:52</v>
      </c>
      <c r="C23" s="7" t="s">
        <v>25</v>
      </c>
      <c r="D23" s="7" t="s">
        <v>26</v>
      </c>
      <c r="E23" s="7" t="s">
        <v>27</v>
      </c>
      <c r="F23" s="7"/>
      <c r="G23" s="7"/>
      <c r="H23" s="7" t="str">
        <f>'20161118 当日委托查询'!J23</f>
        <v>002415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600</v>
      </c>
      <c r="L23" s="7">
        <v>1</v>
      </c>
      <c r="M23" s="7">
        <f>'20161118 当日委托查询'!E23</f>
        <v>31.18</v>
      </c>
    </row>
    <row r="24" spans="1:13" x14ac:dyDescent="0.15">
      <c r="A24" s="2">
        <f t="shared" ca="1" si="0"/>
        <v>42914</v>
      </c>
      <c r="B24" s="5" t="str">
        <f>'20161118 当日委托查询'!H24</f>
        <v>13:17:15</v>
      </c>
      <c r="C24" s="7" t="s">
        <v>25</v>
      </c>
      <c r="D24" s="7" t="s">
        <v>26</v>
      </c>
      <c r="E24" s="7" t="s">
        <v>27</v>
      </c>
      <c r="F24" s="7"/>
      <c r="G24" s="7"/>
      <c r="H24" s="7" t="str">
        <f>'20161118 当日委托查询'!J24</f>
        <v>002008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500</v>
      </c>
      <c r="L24" s="7">
        <v>1</v>
      </c>
      <c r="M24" s="7">
        <f>'20161118 当日委托查询'!E24</f>
        <v>33.49</v>
      </c>
    </row>
    <row r="25" spans="1:13" x14ac:dyDescent="0.15">
      <c r="A25" s="2">
        <f t="shared" ca="1" si="0"/>
        <v>42914</v>
      </c>
      <c r="B25" s="5" t="str">
        <f>'20161118 当日委托查询'!H25</f>
        <v>11:26:16</v>
      </c>
      <c r="C25" s="7" t="s">
        <v>25</v>
      </c>
      <c r="D25" s="7" t="s">
        <v>26</v>
      </c>
      <c r="E25" s="7" t="s">
        <v>27</v>
      </c>
      <c r="F25" s="7"/>
      <c r="G25" s="7"/>
      <c r="H25" s="7" t="str">
        <f>'20161118 当日委托查询'!J25</f>
        <v>000418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400</v>
      </c>
      <c r="L25" s="7">
        <v>1</v>
      </c>
      <c r="M25" s="7">
        <f>'20161118 当日委托查询'!E25</f>
        <v>46.6</v>
      </c>
    </row>
    <row r="26" spans="1:13" x14ac:dyDescent="0.15">
      <c r="A26" s="2">
        <f t="shared" ca="1" si="0"/>
        <v>42914</v>
      </c>
      <c r="B26" s="5" t="str">
        <f>'20161118 当日委托查询'!H26</f>
        <v>11:25:20</v>
      </c>
      <c r="C26" s="7" t="s">
        <v>25</v>
      </c>
      <c r="D26" s="7" t="s">
        <v>26</v>
      </c>
      <c r="E26" s="7" t="s">
        <v>27</v>
      </c>
      <c r="F26" s="7"/>
      <c r="G26" s="7"/>
      <c r="H26" s="7" t="str">
        <f>'20161118 当日委托查询'!J26</f>
        <v>000418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400</v>
      </c>
      <c r="L26" s="7">
        <v>1</v>
      </c>
      <c r="M26" s="7">
        <f>'20161118 当日委托查询'!E26</f>
        <v>46.78</v>
      </c>
    </row>
    <row r="27" spans="1:13" x14ac:dyDescent="0.15">
      <c r="A27" s="2">
        <f t="shared" ca="1" si="0"/>
        <v>42914</v>
      </c>
      <c r="B27" s="5" t="str">
        <f>'20161118 当日委托查询'!H27</f>
        <v>11:23:41</v>
      </c>
      <c r="C27" s="7" t="s">
        <v>25</v>
      </c>
      <c r="D27" s="7" t="s">
        <v>26</v>
      </c>
      <c r="E27" s="7" t="s">
        <v>27</v>
      </c>
      <c r="F27" s="7"/>
      <c r="G27" s="7"/>
      <c r="H27" s="7" t="str">
        <f>'20161118 当日委托查询'!J27</f>
        <v>601238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700</v>
      </c>
      <c r="L27" s="7">
        <v>1</v>
      </c>
      <c r="M27" s="7">
        <f>'20161118 当日委托查询'!E27</f>
        <v>27.39</v>
      </c>
    </row>
    <row r="28" spans="1:13" x14ac:dyDescent="0.15">
      <c r="A28" s="2">
        <f t="shared" ca="1" si="0"/>
        <v>42914</v>
      </c>
      <c r="B28" s="5" t="str">
        <f>'20161118 当日委托查询'!H28</f>
        <v>11:23:16</v>
      </c>
      <c r="C28" s="7" t="s">
        <v>25</v>
      </c>
      <c r="D28" s="7" t="s">
        <v>26</v>
      </c>
      <c r="E28" s="7" t="s">
        <v>27</v>
      </c>
      <c r="F28" s="7"/>
      <c r="G28" s="7"/>
      <c r="H28" s="7" t="str">
        <f>'20161118 当日委托查询'!J28</f>
        <v>601238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700</v>
      </c>
      <c r="L28" s="7">
        <v>1</v>
      </c>
      <c r="M28" s="7">
        <f>'20161118 当日委托查询'!E28</f>
        <v>27.39</v>
      </c>
    </row>
    <row r="29" spans="1:13" x14ac:dyDescent="0.15">
      <c r="A29" s="2">
        <f t="shared" ca="1" si="0"/>
        <v>42914</v>
      </c>
      <c r="B29" s="5" t="str">
        <f>'20161118 当日委托查询'!H29</f>
        <v>11:20:56</v>
      </c>
      <c r="C29" s="7" t="s">
        <v>25</v>
      </c>
      <c r="D29" s="7" t="s">
        <v>26</v>
      </c>
      <c r="E29" s="7" t="s">
        <v>27</v>
      </c>
      <c r="F29" s="7"/>
      <c r="G29" s="7"/>
      <c r="H29" s="7" t="str">
        <f>'20161118 当日委托查询'!J29</f>
        <v>601238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700</v>
      </c>
      <c r="L29" s="7">
        <v>1</v>
      </c>
      <c r="M29" s="7">
        <f>'20161118 当日委托查询'!E29</f>
        <v>27.5</v>
      </c>
    </row>
    <row r="30" spans="1:13" x14ac:dyDescent="0.15">
      <c r="A30" s="2">
        <f t="shared" ca="1" si="0"/>
        <v>42914</v>
      </c>
      <c r="B30" s="5" t="str">
        <f>'20161118 当日委托查询'!H30</f>
        <v>10:50:08</v>
      </c>
      <c r="C30" s="7" t="s">
        <v>25</v>
      </c>
      <c r="D30" s="7" t="s">
        <v>26</v>
      </c>
      <c r="E30" s="7" t="s">
        <v>27</v>
      </c>
      <c r="F30" s="7"/>
      <c r="G30" s="7"/>
      <c r="H30" s="7" t="str">
        <f>'20161118 当日委托查询'!J30</f>
        <v>002008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500</v>
      </c>
      <c r="L30" s="7">
        <v>1</v>
      </c>
      <c r="M30" s="7">
        <f>'20161118 当日委托查询'!E30</f>
        <v>33.700000000000003</v>
      </c>
    </row>
    <row r="31" spans="1:13" x14ac:dyDescent="0.15">
      <c r="A31" s="2">
        <f t="shared" ca="1" si="0"/>
        <v>42914</v>
      </c>
      <c r="B31" s="5" t="str">
        <f>'20161118 当日委托查询'!H31</f>
        <v>10:23:54</v>
      </c>
      <c r="C31" s="7" t="s">
        <v>25</v>
      </c>
      <c r="D31" s="7" t="s">
        <v>26</v>
      </c>
      <c r="E31" s="7" t="s">
        <v>27</v>
      </c>
      <c r="F31" s="7"/>
      <c r="G31" s="7"/>
      <c r="H31" s="7" t="str">
        <f>'20161118 当日委托查询'!J31</f>
        <v>000418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500</v>
      </c>
      <c r="L31" s="7">
        <v>1</v>
      </c>
      <c r="M31" s="7">
        <f>'20161118 当日委托查询'!E31</f>
        <v>46.91</v>
      </c>
    </row>
    <row r="32" spans="1:13" x14ac:dyDescent="0.15">
      <c r="A32" s="2">
        <f t="shared" ca="1" si="0"/>
        <v>42914</v>
      </c>
      <c r="B32" s="5" t="str">
        <f>'20161118 当日委托查询'!H32</f>
        <v>10:16:05</v>
      </c>
      <c r="C32" s="7" t="s">
        <v>25</v>
      </c>
      <c r="D32" s="7" t="s">
        <v>26</v>
      </c>
      <c r="E32" s="7" t="s">
        <v>27</v>
      </c>
      <c r="F32" s="7"/>
      <c r="G32" s="7"/>
      <c r="H32" s="7" t="str">
        <f>'20161118 当日委托查询'!J32</f>
        <v>600660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1000</v>
      </c>
      <c r="L32" s="7">
        <v>1</v>
      </c>
      <c r="M32" s="7">
        <f>'20161118 当日委托查询'!E32</f>
        <v>25.87</v>
      </c>
    </row>
    <row r="33" spans="1:13" x14ac:dyDescent="0.15">
      <c r="A33" s="2">
        <f t="shared" ca="1" si="0"/>
        <v>42914</v>
      </c>
      <c r="B33" s="5" t="str">
        <f>'20161118 当日委托查询'!H33</f>
        <v>10:12:09</v>
      </c>
      <c r="C33" s="7" t="s">
        <v>25</v>
      </c>
      <c r="D33" s="7" t="s">
        <v>26</v>
      </c>
      <c r="E33" s="7" t="s">
        <v>27</v>
      </c>
      <c r="F33" s="7"/>
      <c r="G33" s="7"/>
      <c r="H33" s="7" t="str">
        <f>'20161118 当日委托查询'!J33</f>
        <v>600519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100</v>
      </c>
      <c r="L33" s="7">
        <v>1</v>
      </c>
      <c r="M33" s="7">
        <f>'20161118 当日委托查询'!E33</f>
        <v>477.8</v>
      </c>
    </row>
    <row r="34" spans="1:13" x14ac:dyDescent="0.15">
      <c r="A34" s="2">
        <f t="shared" ca="1" si="0"/>
        <v>42914</v>
      </c>
      <c r="B34" s="5" t="str">
        <f>'20161118 当日委托查询'!H34</f>
        <v>10:10:59</v>
      </c>
      <c r="C34" s="7" t="s">
        <v>25</v>
      </c>
      <c r="D34" s="7" t="s">
        <v>26</v>
      </c>
      <c r="E34" s="7" t="s">
        <v>27</v>
      </c>
      <c r="F34" s="7"/>
      <c r="G34" s="7"/>
      <c r="H34" s="7" t="str">
        <f>'20161118 当日委托查询'!J34</f>
        <v>000418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500</v>
      </c>
      <c r="L34" s="7">
        <v>1</v>
      </c>
      <c r="M34" s="7">
        <f>'20161118 当日委托查询'!E34</f>
        <v>46.968000000000004</v>
      </c>
    </row>
    <row r="35" spans="1:13" x14ac:dyDescent="0.15">
      <c r="A35" s="2">
        <f t="shared" ca="1" si="0"/>
        <v>42914</v>
      </c>
      <c r="B35" s="5" t="str">
        <f>'20161118 当日委托查询'!H35</f>
        <v>10:10:43</v>
      </c>
      <c r="C35" s="7" t="s">
        <v>25</v>
      </c>
      <c r="D35" s="7" t="s">
        <v>26</v>
      </c>
      <c r="E35" s="7" t="s">
        <v>27</v>
      </c>
      <c r="F35" s="7"/>
      <c r="G35" s="7"/>
      <c r="H35" s="7" t="str">
        <f>'20161118 当日委托查询'!J35</f>
        <v>000418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500</v>
      </c>
      <c r="L35" s="7">
        <v>1</v>
      </c>
      <c r="M35" s="7">
        <f>'20161118 当日委托查询'!E35</f>
        <v>46.9</v>
      </c>
    </row>
    <row r="36" spans="1:13" x14ac:dyDescent="0.15">
      <c r="A36" s="2">
        <f t="shared" ca="1" si="0"/>
        <v>42914</v>
      </c>
      <c r="B36" s="5" t="str">
        <f>'20161118 当日委托查询'!H36</f>
        <v>10:09:54</v>
      </c>
      <c r="C36" s="7" t="s">
        <v>25</v>
      </c>
      <c r="D36" s="7" t="s">
        <v>26</v>
      </c>
      <c r="E36" s="7" t="s">
        <v>27</v>
      </c>
      <c r="F36" s="7"/>
      <c r="G36" s="7"/>
      <c r="H36" s="7" t="str">
        <f>'20161118 当日委托查询'!J36</f>
        <v>002415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1500</v>
      </c>
      <c r="L36" s="7">
        <v>1</v>
      </c>
      <c r="M36" s="7">
        <f>'20161118 当日委托查询'!E36</f>
        <v>31.28</v>
      </c>
    </row>
    <row r="37" spans="1:13" x14ac:dyDescent="0.15">
      <c r="A37" s="2">
        <f t="shared" ca="1" si="0"/>
        <v>42914</v>
      </c>
      <c r="B37" s="5" t="str">
        <f>'20161118 当日委托查询'!H37</f>
        <v>10:09:18</v>
      </c>
      <c r="C37" s="7" t="s">
        <v>25</v>
      </c>
      <c r="D37" s="7" t="s">
        <v>26</v>
      </c>
      <c r="E37" s="7" t="s">
        <v>27</v>
      </c>
      <c r="F37" s="7"/>
      <c r="G37" s="7"/>
      <c r="H37" s="7" t="str">
        <f>'20161118 当日委托查询'!J37</f>
        <v>002415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700</v>
      </c>
      <c r="L37" s="7">
        <v>1</v>
      </c>
      <c r="M37" s="7">
        <f>'20161118 当日委托查询'!E37</f>
        <v>31.27</v>
      </c>
    </row>
    <row r="38" spans="1:13" x14ac:dyDescent="0.15">
      <c r="A38" s="2">
        <f t="shared" ca="1" si="0"/>
        <v>42914</v>
      </c>
      <c r="B38" s="5" t="str">
        <f>'20161118 当日委托查询'!H38</f>
        <v>10:08:01</v>
      </c>
      <c r="C38" s="7" t="s">
        <v>25</v>
      </c>
      <c r="D38" s="7" t="s">
        <v>26</v>
      </c>
      <c r="E38" s="7" t="s">
        <v>27</v>
      </c>
      <c r="F38" s="7"/>
      <c r="G38" s="7"/>
      <c r="H38" s="7" t="str">
        <f>'20161118 当日委托查询'!J38</f>
        <v>002008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700</v>
      </c>
      <c r="L38" s="7">
        <v>1</v>
      </c>
      <c r="M38" s="7">
        <f>'20161118 当日委托查询'!E38</f>
        <v>33.901000000000003</v>
      </c>
    </row>
    <row r="39" spans="1:13" x14ac:dyDescent="0.15">
      <c r="A39" s="2">
        <f t="shared" ca="1" si="0"/>
        <v>42914</v>
      </c>
      <c r="B39" s="5" t="str">
        <f>'20161118 当日委托查询'!H39</f>
        <v>10:06:35</v>
      </c>
      <c r="C39" s="7" t="s">
        <v>25</v>
      </c>
      <c r="D39" s="7" t="s">
        <v>26</v>
      </c>
      <c r="E39" s="7" t="s">
        <v>27</v>
      </c>
      <c r="F39" s="7"/>
      <c r="G39" s="7"/>
      <c r="H39" s="7" t="str">
        <f>'20161118 当日委托查询'!J39</f>
        <v>601238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900</v>
      </c>
      <c r="L39" s="7">
        <v>1</v>
      </c>
      <c r="M39" s="7">
        <f>'20161118 当日委托查询'!E39</f>
        <v>27.6</v>
      </c>
    </row>
    <row r="40" spans="1:13" x14ac:dyDescent="0.15">
      <c r="A40" s="2">
        <f t="shared" ca="1" si="0"/>
        <v>42914</v>
      </c>
      <c r="B40" s="5" t="str">
        <f>'20161118 当日委托查询'!H40</f>
        <v>10:04:35</v>
      </c>
      <c r="C40" s="7" t="s">
        <v>25</v>
      </c>
      <c r="D40" s="7" t="s">
        <v>26</v>
      </c>
      <c r="E40" s="7" t="s">
        <v>27</v>
      </c>
      <c r="F40" s="7"/>
      <c r="G40" s="7"/>
      <c r="H40" s="7" t="str">
        <f>'20161118 当日委托查询'!J40</f>
        <v>000418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500</v>
      </c>
      <c r="L40" s="7">
        <v>1</v>
      </c>
      <c r="M40" s="7">
        <f>'20161118 当日委托查询'!E40</f>
        <v>47.28</v>
      </c>
    </row>
    <row r="41" spans="1:13" x14ac:dyDescent="0.15">
      <c r="A41" s="2">
        <f t="shared" ca="1" si="0"/>
        <v>42914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42914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42914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42914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42914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42914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42914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42914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42914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42914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42914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42914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42914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42914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42914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42914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42914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42914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42914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42914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42914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42914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42914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42914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42914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8" ca="1" si="1">TODAY()</f>
        <v>42914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42914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42914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42914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42914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42914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42914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42914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42914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42914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42914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42914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  <row r="78" spans="1:13" x14ac:dyDescent="0.15">
      <c r="A78" s="2">
        <f t="shared" ca="1" si="1"/>
        <v>42914</v>
      </c>
      <c r="B78" s="5">
        <f>'20161118 当日委托查询'!H78</f>
        <v>0</v>
      </c>
      <c r="C78" s="7" t="s">
        <v>25</v>
      </c>
      <c r="D78" s="7" t="s">
        <v>26</v>
      </c>
      <c r="E78" s="7" t="s">
        <v>27</v>
      </c>
      <c r="F78" s="7"/>
      <c r="G78" s="7"/>
      <c r="H78" s="7">
        <f>'20161118 当日委托查询'!J78</f>
        <v>0</v>
      </c>
      <c r="I78" s="7" t="str">
        <f>IF('20161118 当日委托查询'!B78="卖出","S","B")</f>
        <v>B</v>
      </c>
      <c r="J78" s="7" t="s">
        <v>28</v>
      </c>
      <c r="K78" s="7">
        <f>IF(I78="S",-1*'20161118 当日委托查询'!F78,'20161118 当日委托查询'!F78)</f>
        <v>0</v>
      </c>
      <c r="L78" s="7">
        <v>1</v>
      </c>
      <c r="M78" s="7">
        <f>'20161118 当日委托查询'!E78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2017-06-28T11:34:29Z</dcterms:modified>
</cp:coreProperties>
</file>