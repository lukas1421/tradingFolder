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50" windowWidth="16605" windowHeight="916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当日委托查询'!$A$1:$O$24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 s="1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 s="1"/>
  <c r="M30" i="4"/>
  <c r="A31" i="4"/>
  <c r="B31" i="4"/>
  <c r="H31" i="4"/>
  <c r="I31" i="4"/>
  <c r="K31" i="4" s="1"/>
  <c r="M31" i="4"/>
  <c r="A32" i="4"/>
  <c r="B32" i="4"/>
  <c r="H32" i="4"/>
  <c r="I32" i="4"/>
  <c r="K32" i="4" s="1"/>
  <c r="M32" i="4"/>
  <c r="A33" i="4"/>
  <c r="B33" i="4"/>
  <c r="H33" i="4"/>
  <c r="I33" i="4"/>
  <c r="K33" i="4" s="1"/>
  <c r="M33" i="4"/>
  <c r="A34" i="4"/>
  <c r="B34" i="4"/>
  <c r="H34" i="4"/>
  <c r="I34" i="4"/>
  <c r="K34" i="4" s="1"/>
  <c r="M34" i="4"/>
  <c r="A35" i="4"/>
  <c r="B35" i="4"/>
  <c r="H35" i="4"/>
  <c r="I35" i="4"/>
  <c r="K35" i="4" s="1"/>
  <c r="M35" i="4"/>
  <c r="A36" i="4"/>
  <c r="B36" i="4"/>
  <c r="H36" i="4"/>
  <c r="I36" i="4"/>
  <c r="K36" i="4" s="1"/>
  <c r="M36" i="4"/>
  <c r="A37" i="4"/>
  <c r="B37" i="4"/>
  <c r="H37" i="4"/>
  <c r="I37" i="4"/>
  <c r="K37" i="4" s="1"/>
  <c r="M37" i="4"/>
  <c r="A38" i="4"/>
  <c r="B38" i="4"/>
  <c r="H38" i="4"/>
  <c r="I38" i="4"/>
  <c r="K38" i="4" s="1"/>
  <c r="M38" i="4"/>
  <c r="A39" i="4"/>
  <c r="B39" i="4"/>
  <c r="H39" i="4"/>
  <c r="I39" i="4"/>
  <c r="K39" i="4" s="1"/>
  <c r="M39" i="4"/>
  <c r="A40" i="4"/>
  <c r="B40" i="4"/>
  <c r="H40" i="4"/>
  <c r="I40" i="4"/>
  <c r="K40" i="4" s="1"/>
  <c r="M40" i="4"/>
  <c r="A41" i="4"/>
  <c r="B41" i="4"/>
  <c r="H41" i="4"/>
  <c r="I41" i="4"/>
  <c r="K41" i="4" s="1"/>
  <c r="M41" i="4"/>
  <c r="A42" i="4"/>
  <c r="B42" i="4"/>
  <c r="H42" i="4"/>
  <c r="I42" i="4"/>
  <c r="K42" i="4" s="1"/>
  <c r="M42" i="4"/>
  <c r="A43" i="4"/>
  <c r="B43" i="4"/>
  <c r="H43" i="4"/>
  <c r="I43" i="4"/>
  <c r="K43" i="4" s="1"/>
  <c r="M43" i="4"/>
  <c r="A44" i="4"/>
  <c r="B44" i="4"/>
  <c r="H44" i="4"/>
  <c r="I44" i="4"/>
  <c r="K44" i="4" s="1"/>
  <c r="M44" i="4"/>
  <c r="A45" i="4"/>
  <c r="B45" i="4"/>
  <c r="H45" i="4"/>
  <c r="I45" i="4"/>
  <c r="K45" i="4" s="1"/>
  <c r="M45" i="4"/>
  <c r="A46" i="4"/>
  <c r="B46" i="4"/>
  <c r="H46" i="4"/>
  <c r="I46" i="4"/>
  <c r="K46" i="4" s="1"/>
  <c r="M46" i="4"/>
  <c r="A47" i="4"/>
  <c r="B47" i="4"/>
  <c r="H47" i="4"/>
  <c r="I47" i="4"/>
  <c r="K47" i="4" s="1"/>
  <c r="M47" i="4"/>
  <c r="A48" i="4"/>
  <c r="B48" i="4"/>
  <c r="H48" i="4"/>
  <c r="I48" i="4"/>
  <c r="K48" i="4" s="1"/>
  <c r="M48" i="4"/>
  <c r="A49" i="4"/>
  <c r="B49" i="4"/>
  <c r="H49" i="4"/>
  <c r="I49" i="4"/>
  <c r="K49" i="4" s="1"/>
  <c r="M49" i="4"/>
  <c r="A50" i="4"/>
  <c r="B50" i="4"/>
  <c r="H50" i="4"/>
  <c r="I50" i="4"/>
  <c r="K50" i="4" s="1"/>
  <c r="M50" i="4"/>
  <c r="A51" i="4"/>
  <c r="B51" i="4"/>
  <c r="H51" i="4"/>
  <c r="I51" i="4"/>
  <c r="K51" i="4" s="1"/>
  <c r="M51" i="4"/>
  <c r="A52" i="4"/>
  <c r="B52" i="4"/>
  <c r="H52" i="4"/>
  <c r="I52" i="4"/>
  <c r="K52" i="4" s="1"/>
  <c r="M52" i="4"/>
  <c r="A53" i="4"/>
  <c r="B53" i="4"/>
  <c r="H53" i="4"/>
  <c r="I53" i="4"/>
  <c r="K53" i="4" s="1"/>
  <c r="M53" i="4"/>
  <c r="A54" i="4"/>
  <c r="B54" i="4"/>
  <c r="H54" i="4"/>
  <c r="I54" i="4"/>
  <c r="K54" i="4" s="1"/>
  <c r="M54" i="4"/>
  <c r="A55" i="4"/>
  <c r="B55" i="4"/>
  <c r="H55" i="4"/>
  <c r="I55" i="4"/>
  <c r="K55" i="4" s="1"/>
  <c r="M55" i="4"/>
  <c r="A56" i="4"/>
  <c r="B56" i="4"/>
  <c r="H56" i="4"/>
  <c r="I56" i="4"/>
  <c r="K56" i="4" s="1"/>
  <c r="M56" i="4"/>
  <c r="A57" i="4"/>
  <c r="B57" i="4"/>
  <c r="H57" i="4"/>
  <c r="I57" i="4"/>
  <c r="K57" i="4" s="1"/>
  <c r="M57" i="4"/>
  <c r="A58" i="4"/>
  <c r="B58" i="4"/>
  <c r="H58" i="4"/>
  <c r="I58" i="4"/>
  <c r="K58" i="4" s="1"/>
  <c r="M58" i="4"/>
  <c r="A59" i="4"/>
  <c r="B59" i="4"/>
  <c r="H59" i="4"/>
  <c r="I59" i="4"/>
  <c r="K59" i="4" s="1"/>
  <c r="M59" i="4"/>
  <c r="A60" i="4"/>
  <c r="B60" i="4"/>
  <c r="H60" i="4"/>
  <c r="I60" i="4"/>
  <c r="K60" i="4" s="1"/>
  <c r="M60" i="4"/>
  <c r="A61" i="4"/>
  <c r="B61" i="4"/>
  <c r="H61" i="4"/>
  <c r="I61" i="4"/>
  <c r="K61" i="4" s="1"/>
  <c r="M61" i="4"/>
  <c r="A62" i="4"/>
  <c r="B62" i="4"/>
  <c r="H62" i="4"/>
  <c r="I62" i="4"/>
  <c r="K62" i="4" s="1"/>
  <c r="M62" i="4"/>
  <c r="A63" i="4"/>
  <c r="B63" i="4"/>
  <c r="H63" i="4"/>
  <c r="I63" i="4"/>
  <c r="K63" i="4" s="1"/>
  <c r="M63" i="4"/>
  <c r="A64" i="4"/>
  <c r="B64" i="4"/>
  <c r="H64" i="4"/>
  <c r="I64" i="4"/>
  <c r="K64" i="4" s="1"/>
  <c r="M64" i="4"/>
  <c r="A65" i="4"/>
  <c r="B65" i="4"/>
  <c r="H65" i="4"/>
  <c r="I65" i="4"/>
  <c r="K65" i="4" s="1"/>
  <c r="M65" i="4"/>
  <c r="A66" i="4"/>
  <c r="B66" i="4"/>
  <c r="H66" i="4"/>
  <c r="I66" i="4"/>
  <c r="K66" i="4" s="1"/>
  <c r="M66" i="4"/>
  <c r="A67" i="4"/>
  <c r="B67" i="4"/>
  <c r="H67" i="4"/>
  <c r="I67" i="4"/>
  <c r="K67" i="4" s="1"/>
  <c r="M67" i="4"/>
  <c r="A68" i="4"/>
  <c r="B68" i="4"/>
  <c r="H68" i="4"/>
  <c r="I68" i="4"/>
  <c r="K68" i="4" s="1"/>
  <c r="M68" i="4"/>
  <c r="A69" i="4"/>
  <c r="B69" i="4"/>
  <c r="H69" i="4"/>
  <c r="I69" i="4"/>
  <c r="K69" i="4" s="1"/>
  <c r="M69" i="4"/>
  <c r="A70" i="4"/>
  <c r="B70" i="4"/>
  <c r="H70" i="4"/>
  <c r="I70" i="4"/>
  <c r="K70" i="4" s="1"/>
  <c r="M70" i="4"/>
  <c r="A71" i="4"/>
  <c r="B71" i="4"/>
  <c r="H71" i="4"/>
  <c r="I71" i="4"/>
  <c r="K71" i="4" s="1"/>
  <c r="M71" i="4"/>
  <c r="A72" i="4"/>
  <c r="B72" i="4"/>
  <c r="H72" i="4"/>
  <c r="I72" i="4"/>
  <c r="K72" i="4" s="1"/>
  <c r="M72" i="4"/>
  <c r="A73" i="4"/>
  <c r="B73" i="4"/>
  <c r="H73" i="4"/>
  <c r="I73" i="4"/>
  <c r="K73" i="4" s="1"/>
  <c r="M73" i="4"/>
  <c r="A74" i="4"/>
  <c r="B74" i="4"/>
  <c r="H74" i="4"/>
  <c r="I74" i="4"/>
  <c r="K74" i="4" s="1"/>
  <c r="M74" i="4"/>
  <c r="A75" i="4"/>
  <c r="B75" i="4"/>
  <c r="H75" i="4"/>
  <c r="I75" i="4"/>
  <c r="K75" i="4" s="1"/>
  <c r="M75" i="4"/>
  <c r="A76" i="4"/>
  <c r="B76" i="4"/>
  <c r="H76" i="4"/>
  <c r="I76" i="4"/>
  <c r="K76" i="4" s="1"/>
  <c r="M76" i="4"/>
  <c r="A77" i="4"/>
  <c r="B77" i="4"/>
  <c r="H77" i="4"/>
  <c r="I77" i="4"/>
  <c r="K77" i="4" s="1"/>
  <c r="M77" i="4"/>
  <c r="B2" i="4"/>
  <c r="O18" i="1" l="1"/>
  <c r="O30" i="1" l="1"/>
  <c r="O51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<sst xmlns="http://schemas.openxmlformats.org/spreadsheetml/2006/main" count="409" uniqueCount="76">
  <si>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</si>
  <si>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</si>
  <si>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</si>
  <si>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</si>
  <si>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</si>
  <si>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</si>
  <si>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</si>
  <si>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</si>
  <si>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</si>
  <si>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</si>
  <si>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</si>
  <si>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</si>
  <si>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</si>
  <si>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</si>
  <si>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</si>
  <si>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</si>
  <si>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</si>
  <si>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</si>
  <si>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</si>
  <si>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</si>
  <si>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</si>
  <si>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</si>
  <si>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</si>
  <si>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</si>
  <si>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</si>
  <si>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</si>
  <si>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</si>
  <si>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</si>
  <si>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</si>
  <si>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</si>
  <si>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</si>
  <si>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</si>
  <si>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</si>
  <si>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卖出</t>
  </si>
  <si>
    <t>0174291408</t>
  </si>
  <si>
    <t>买入</t>
  </si>
  <si>
    <t>招商银行</t>
  </si>
  <si>
    <t>600036</t>
  </si>
  <si>
    <t>创业环保</t>
  </si>
  <si>
    <t>600874</t>
  </si>
  <si>
    <t>凯乐科技</t>
  </si>
  <si>
    <t>600260</t>
  </si>
  <si>
    <t>赣锋锂业</t>
  </si>
  <si>
    <t>002460</t>
  </si>
  <si>
    <t>14:59:54</t>
  </si>
  <si>
    <t>709</t>
  </si>
  <si>
    <t>0008443</t>
  </si>
  <si>
    <t>14:59:04</t>
  </si>
  <si>
    <t>697</t>
  </si>
  <si>
    <t>0000513</t>
  </si>
  <si>
    <t>方大炭素</t>
  </si>
  <si>
    <t>14:58:41</t>
  </si>
  <si>
    <t>690</t>
  </si>
  <si>
    <t>600516</t>
  </si>
  <si>
    <t>0008401</t>
  </si>
  <si>
    <t>14:59:29</t>
  </si>
  <si>
    <t>701</t>
  </si>
  <si>
    <t>0008423</t>
  </si>
  <si>
    <t>三孚股份</t>
  </si>
  <si>
    <t>09:38:46</t>
  </si>
  <si>
    <t>679</t>
  </si>
  <si>
    <t>603938</t>
  </si>
  <si>
    <t>0001244</t>
  </si>
  <si>
    <t>上汽集团</t>
  </si>
  <si>
    <t>14:59:37</t>
  </si>
  <si>
    <t>703</t>
  </si>
  <si>
    <t>600104</t>
  </si>
  <si>
    <t>0008429</t>
  </si>
  <si>
    <t>14:58:52</t>
  </si>
  <si>
    <t>693</t>
  </si>
  <si>
    <t>0008405</t>
  </si>
  <si>
    <t>陕西煤业</t>
  </si>
  <si>
    <t>09:52:37</t>
  </si>
  <si>
    <t>682</t>
  </si>
  <si>
    <t>601225</t>
  </si>
  <si>
    <t>0002292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</si>
</sst>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1"/>
  <sheetViews>
    <sheetView zoomScale="130" zoomScaleNormal="130" workbookViewId="0">
      <pane ySplit="1" topLeftCell="A2" activePane="bottomLeft" state="frozen"/>
      <selection pane="bottomLeft" activeCell="A2" sqref="A2:N9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40</v>
      </c>
      <c r="B2" s="7" t="s">
        <v>33</v>
      </c>
      <c r="C2" s="7">
        <v>27.28</v>
      </c>
      <c r="D2" s="7">
        <v>200</v>
      </c>
      <c r="E2" s="7">
        <v>27.29</v>
      </c>
      <c r="F2" s="7">
        <v>200</v>
      </c>
      <c r="G2" s="7" t="s">
        <v>29</v>
      </c>
      <c r="H2" s="7" t="s">
        <v>44</v>
      </c>
      <c r="I2" s="7" t="s">
        <v>45</v>
      </c>
      <c r="J2" s="7" t="s">
        <v>41</v>
      </c>
      <c r="K2" s="7" t="s">
        <v>30</v>
      </c>
      <c r="L2" s="7" t="s">
        <v>31</v>
      </c>
      <c r="M2" s="7" t="s">
        <v>32</v>
      </c>
      <c r="N2" s="7" t="s">
        <v>46</v>
      </c>
      <c r="O2" s="4"/>
    </row>
    <row r="3" spans="1:15" x14ac:dyDescent="0.15">
      <c r="A3" s="7" t="s">
        <v>42</v>
      </c>
      <c r="B3" s="7" t="s">
        <v>33</v>
      </c>
      <c r="C3" s="7">
        <v>50.18</v>
      </c>
      <c r="D3" s="7">
        <v>200</v>
      </c>
      <c r="E3" s="7">
        <v>50.18</v>
      </c>
      <c r="F3" s="7">
        <v>200</v>
      </c>
      <c r="G3" s="7" t="s">
        <v>29</v>
      </c>
      <c r="H3" s="7" t="s">
        <v>47</v>
      </c>
      <c r="I3" s="7" t="s">
        <v>48</v>
      </c>
      <c r="J3" s="7" t="s">
        <v>43</v>
      </c>
      <c r="K3" s="7" t="s">
        <v>34</v>
      </c>
      <c r="L3" s="7" t="s">
        <v>31</v>
      </c>
      <c r="M3" s="7" t="s">
        <v>32</v>
      </c>
      <c r="N3" s="7" t="s">
        <v>49</v>
      </c>
      <c r="O3" s="4"/>
    </row>
    <row r="4" spans="1:15" x14ac:dyDescent="0.15">
      <c r="A4" s="7" t="s">
        <v>50</v>
      </c>
      <c r="B4" s="7" t="s">
        <v>33</v>
      </c>
      <c r="C4" s="7">
        <v>18.8</v>
      </c>
      <c r="D4" s="7">
        <v>600</v>
      </c>
      <c r="E4" s="7">
        <v>18.8</v>
      </c>
      <c r="F4" s="7">
        <v>600</v>
      </c>
      <c r="G4" s="7" t="s">
        <v>29</v>
      </c>
      <c r="H4" s="7" t="s">
        <v>51</v>
      </c>
      <c r="I4" s="7" t="s">
        <v>52</v>
      </c>
      <c r="J4" s="7" t="s">
        <v>53</v>
      </c>
      <c r="K4" s="7" t="s">
        <v>30</v>
      </c>
      <c r="L4" s="7" t="s">
        <v>31</v>
      </c>
      <c r="M4" s="7" t="s">
        <v>32</v>
      </c>
      <c r="N4" s="7" t="s">
        <v>54</v>
      </c>
    </row>
    <row r="5" spans="1:15" x14ac:dyDescent="0.15">
      <c r="A5" s="7" t="s">
        <v>36</v>
      </c>
      <c r="B5" s="7" t="s">
        <v>33</v>
      </c>
      <c r="C5" s="7">
        <v>23.26</v>
      </c>
      <c r="D5" s="7">
        <v>800</v>
      </c>
      <c r="E5" s="7">
        <v>23.26</v>
      </c>
      <c r="F5" s="7">
        <v>800</v>
      </c>
      <c r="G5" s="7" t="s">
        <v>29</v>
      </c>
      <c r="H5" s="7" t="s">
        <v>55</v>
      </c>
      <c r="I5" s="7" t="s">
        <v>56</v>
      </c>
      <c r="J5" s="7" t="s">
        <v>37</v>
      </c>
      <c r="K5" s="7" t="s">
        <v>30</v>
      </c>
      <c r="L5" s="7" t="s">
        <v>31</v>
      </c>
      <c r="M5" s="7" t="s">
        <v>32</v>
      </c>
      <c r="N5" s="7" t="s">
        <v>57</v>
      </c>
    </row>
    <row r="6" spans="1:15" x14ac:dyDescent="0.15">
      <c r="A6" s="7" t="s">
        <v>58</v>
      </c>
      <c r="B6" s="7" t="s">
        <v>33</v>
      </c>
      <c r="C6" s="7">
        <v>29.36</v>
      </c>
      <c r="D6" s="7">
        <v>1000</v>
      </c>
      <c r="E6" s="7">
        <v>29.36</v>
      </c>
      <c r="F6" s="7">
        <v>1000</v>
      </c>
      <c r="G6" s="7" t="s">
        <v>29</v>
      </c>
      <c r="H6" s="7" t="s">
        <v>59</v>
      </c>
      <c r="I6" s="7" t="s">
        <v>60</v>
      </c>
      <c r="J6" s="7" t="s">
        <v>61</v>
      </c>
      <c r="K6" s="7" t="s">
        <v>30</v>
      </c>
      <c r="L6" s="7" t="s">
        <v>31</v>
      </c>
      <c r="M6" s="7" t="s">
        <v>32</v>
      </c>
      <c r="N6" s="7" t="s">
        <v>62</v>
      </c>
    </row>
    <row r="7" spans="1:15" x14ac:dyDescent="0.15">
      <c r="A7" s="7" t="s">
        <v>63</v>
      </c>
      <c r="B7" s="7" t="s">
        <v>33</v>
      </c>
      <c r="C7" s="7">
        <v>31.49</v>
      </c>
      <c r="D7" s="7">
        <v>1400</v>
      </c>
      <c r="E7" s="7">
        <v>31.49</v>
      </c>
      <c r="F7" s="7">
        <v>1400</v>
      </c>
      <c r="G7" s="7" t="s">
        <v>29</v>
      </c>
      <c r="H7" s="7" t="s">
        <v>64</v>
      </c>
      <c r="I7" s="7" t="s">
        <v>65</v>
      </c>
      <c r="J7" s="7" t="s">
        <v>66</v>
      </c>
      <c r="K7" s="7" t="s">
        <v>30</v>
      </c>
      <c r="L7" s="7" t="s">
        <v>31</v>
      </c>
      <c r="M7" s="7" t="s">
        <v>32</v>
      </c>
      <c r="N7" s="7" t="s">
        <v>67</v>
      </c>
    </row>
    <row r="8" spans="1:15" x14ac:dyDescent="0.15">
      <c r="A8" s="7" t="s">
        <v>38</v>
      </c>
      <c r="B8" s="7" t="s">
        <v>33</v>
      </c>
      <c r="C8" s="7">
        <v>19.309999999999999</v>
      </c>
      <c r="D8" s="7">
        <v>1400</v>
      </c>
      <c r="E8" s="7">
        <v>19.309999999999999</v>
      </c>
      <c r="F8" s="7">
        <v>1400</v>
      </c>
      <c r="G8" s="7" t="s">
        <v>29</v>
      </c>
      <c r="H8" s="7" t="s">
        <v>68</v>
      </c>
      <c r="I8" s="7" t="s">
        <v>69</v>
      </c>
      <c r="J8" s="7" t="s">
        <v>39</v>
      </c>
      <c r="K8" s="7" t="s">
        <v>30</v>
      </c>
      <c r="L8" s="7" t="s">
        <v>31</v>
      </c>
      <c r="M8" s="7" t="s">
        <v>32</v>
      </c>
      <c r="N8" s="7" t="s">
        <v>70</v>
      </c>
    </row>
    <row r="9" spans="1:15" x14ac:dyDescent="0.15">
      <c r="A9" s="7" t="s">
        <v>71</v>
      </c>
      <c r="B9" s="7" t="s">
        <v>35</v>
      </c>
      <c r="C9" s="7">
        <v>8.5299999999999994</v>
      </c>
      <c r="D9" s="7">
        <v>2300</v>
      </c>
      <c r="E9" s="7">
        <v>8.5299999999999994</v>
      </c>
      <c r="F9" s="7">
        <v>2300</v>
      </c>
      <c r="G9" s="7" t="s">
        <v>29</v>
      </c>
      <c r="H9" s="7" t="s">
        <v>72</v>
      </c>
      <c r="I9" s="7" t="s">
        <v>73</v>
      </c>
      <c r="J9" s="7" t="s">
        <v>74</v>
      </c>
      <c r="K9" s="7" t="s">
        <v>30</v>
      </c>
      <c r="L9" s="7" t="s">
        <v>31</v>
      </c>
      <c r="M9" s="7" t="s">
        <v>32</v>
      </c>
      <c r="N9" s="7" t="s">
        <v>75</v>
      </c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5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5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>
        <f>+E18*F18/36</f>
        <v>0</v>
      </c>
    </row>
    <row r="19" spans="1:15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5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5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5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5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24" spans="1:15" x14ac:dyDescent="0.1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</row>
    <row r="25" spans="1:15" x14ac:dyDescent="0.1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</row>
    <row r="26" spans="1:15" x14ac:dyDescent="0.1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</row>
    <row r="27" spans="1:15" x14ac:dyDescent="0.1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</row>
    <row r="28" spans="1:15" x14ac:dyDescent="0.1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</row>
    <row r="29" spans="1:15" x14ac:dyDescent="0.1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</row>
    <row r="30" spans="1:15" x14ac:dyDescent="0.1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>
        <f>+E30*F30/36</f>
        <v>0</v>
      </c>
    </row>
    <row r="51" spans="15:15" x14ac:dyDescent="0.15">
      <c r="O51" s="7">
        <f>+E51*F51/36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M9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42926</v>
      </c>
      <c r="B2" s="5" t="str">
        <f>'20161118 当日委托查询'!H2</f>
        <v>14:59:54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600260</v>
      </c>
      <c r="I2" s="7" t="str">
        <f>IF('20161118 当日委托查询'!B2="卖出","S","B")</f>
        <v>S</v>
      </c>
      <c r="J2" s="7" t="s">
        <v>28</v>
      </c>
      <c r="K2" s="7">
        <f>IF(I2="S",-1*'20161118 当日委托查询'!F2,'20161118 当日委托查询'!F2)</f>
        <v>-200</v>
      </c>
      <c r="L2" s="7">
        <v>1</v>
      </c>
      <c r="M2" s="7">
        <f>'20161118 当日委托查询'!E2</f>
        <v>27.29</v>
      </c>
    </row>
    <row r="3" spans="1:25" x14ac:dyDescent="0.15">
      <c r="A3" s="2">
        <f t="shared" ca="1" si="0"/>
        <v>42926</v>
      </c>
      <c r="B3" s="5" t="str">
        <f>'20161118 当日委托查询'!H3</f>
        <v>14:59:04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002460</v>
      </c>
      <c r="I3" s="7" t="str">
        <f>IF('20161118 当日委托查询'!B3="卖出","S","B")</f>
        <v>S</v>
      </c>
      <c r="J3" s="7" t="s">
        <v>28</v>
      </c>
      <c r="K3" s="7">
        <f>IF(I3="S",-1*'20161118 当日委托查询'!F3,'20161118 当日委托查询'!F3)</f>
        <v>-200</v>
      </c>
      <c r="L3" s="7">
        <v>1</v>
      </c>
      <c r="M3" s="7">
        <f>'20161118 当日委托查询'!E3</f>
        <v>50.18</v>
      </c>
    </row>
    <row r="4" spans="1:25" x14ac:dyDescent="0.15">
      <c r="A4" s="2">
        <f t="shared" ca="1" si="0"/>
        <v>42926</v>
      </c>
      <c r="B4" s="5" t="str">
        <f>'20161118 当日委托查询'!H4</f>
        <v>14:58:41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600516</v>
      </c>
      <c r="I4" s="7" t="str">
        <f>IF('20161118 当日委托查询'!B4="卖出","S","B")</f>
        <v>S</v>
      </c>
      <c r="J4" s="7" t="s">
        <v>28</v>
      </c>
      <c r="K4" s="7">
        <f>IF(I4="S",-1*'20161118 当日委托查询'!F4,'20161118 当日委托查询'!F4)</f>
        <v>-600</v>
      </c>
      <c r="L4" s="7">
        <v>1</v>
      </c>
      <c r="M4" s="7">
        <f>'20161118 当日委托查询'!E4</f>
        <v>18.8</v>
      </c>
    </row>
    <row r="5" spans="1:25" x14ac:dyDescent="0.15">
      <c r="A5" s="2">
        <f t="shared" ca="1" si="0"/>
        <v>42926</v>
      </c>
      <c r="B5" s="5" t="str">
        <f>'20161118 当日委托查询'!H5</f>
        <v>14:59:29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600036</v>
      </c>
      <c r="I5" s="7" t="str">
        <f>IF('20161118 当日委托查询'!B5="卖出","S","B")</f>
        <v>S</v>
      </c>
      <c r="J5" s="7" t="s">
        <v>28</v>
      </c>
      <c r="K5" s="7">
        <f>IF(I5="S",-1*'20161118 当日委托查询'!F5,'20161118 当日委托查询'!F5)</f>
        <v>-800</v>
      </c>
      <c r="L5" s="7">
        <v>1</v>
      </c>
      <c r="M5" s="7">
        <f>'20161118 当日委托查询'!E5</f>
        <v>23.26</v>
      </c>
    </row>
    <row r="6" spans="1:25" x14ac:dyDescent="0.15">
      <c r="A6" s="2">
        <f t="shared" ca="1" si="0"/>
        <v>42926</v>
      </c>
      <c r="B6" s="5" t="str">
        <f>'20161118 当日委托查询'!H6</f>
        <v>09:38:46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603938</v>
      </c>
      <c r="I6" s="7" t="str">
        <f>IF('20161118 当日委托查询'!B6="卖出","S","B")</f>
        <v>S</v>
      </c>
      <c r="J6" s="7" t="s">
        <v>28</v>
      </c>
      <c r="K6" s="7">
        <f>IF(I6="S",-1*'20161118 当日委托查询'!F6,'20161118 当日委托查询'!F6)</f>
        <v>-1000</v>
      </c>
      <c r="L6" s="7">
        <v>1</v>
      </c>
      <c r="M6" s="7">
        <f>'20161118 当日委托查询'!E6</f>
        <v>29.36</v>
      </c>
    </row>
    <row r="7" spans="1:25" x14ac:dyDescent="0.15">
      <c r="A7" s="2">
        <f t="shared" ca="1" si="0"/>
        <v>42926</v>
      </c>
      <c r="B7" s="5" t="str">
        <f>'20161118 当日委托查询'!H7</f>
        <v>14:59:37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600104</v>
      </c>
      <c r="I7" s="7" t="str">
        <f>IF('20161118 当日委托查询'!B7="卖出","S","B")</f>
        <v>S</v>
      </c>
      <c r="J7" s="7" t="s">
        <v>28</v>
      </c>
      <c r="K7" s="7">
        <f>IF(I7="S",-1*'20161118 当日委托查询'!F7,'20161118 当日委托查询'!F7)</f>
        <v>-1400</v>
      </c>
      <c r="L7" s="7">
        <v>1</v>
      </c>
      <c r="M7" s="7">
        <f>'20161118 当日委托查询'!E7</f>
        <v>31.49</v>
      </c>
    </row>
    <row r="8" spans="1:25" x14ac:dyDescent="0.15">
      <c r="A8" s="2">
        <f t="shared" ca="1" si="0"/>
        <v>42926</v>
      </c>
      <c r="B8" s="5" t="str">
        <f>'20161118 当日委托查询'!H8</f>
        <v>14:58:52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600874</v>
      </c>
      <c r="I8" s="7" t="str">
        <f>IF('20161118 当日委托查询'!B8="卖出","S","B")</f>
        <v>S</v>
      </c>
      <c r="J8" s="7" t="s">
        <v>28</v>
      </c>
      <c r="K8" s="7">
        <f>IF(I8="S",-1*'20161118 当日委托查询'!F8,'20161118 当日委托查询'!F8)</f>
        <v>-1400</v>
      </c>
      <c r="L8" s="7">
        <v>1</v>
      </c>
      <c r="M8" s="7">
        <f>'20161118 当日委托查询'!E8</f>
        <v>19.309999999999999</v>
      </c>
    </row>
    <row r="9" spans="1:25" x14ac:dyDescent="0.15">
      <c r="A9" s="2">
        <f t="shared" ca="1" si="0"/>
        <v>42926</v>
      </c>
      <c r="B9" s="5" t="str">
        <f>'20161118 当日委托查询'!H9</f>
        <v>09:52:37</v>
      </c>
      <c r="C9" s="7" t="s">
        <v>25</v>
      </c>
      <c r="D9" s="7" t="s">
        <v>26</v>
      </c>
      <c r="E9" s="7" t="s">
        <v>27</v>
      </c>
      <c r="F9" s="7"/>
      <c r="G9" s="7"/>
      <c r="H9" s="7" t="str">
        <f>'20161118 当日委托查询'!J9</f>
        <v>601225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2300</v>
      </c>
      <c r="L9" s="7">
        <v>1</v>
      </c>
      <c r="M9" s="7">
        <f>'20161118 当日委托查询'!E9</f>
        <v>8.5299999999999994</v>
      </c>
    </row>
    <row r="10" spans="1:25" x14ac:dyDescent="0.15">
      <c r="A10" s="2">
        <f t="shared" ca="1" si="0"/>
        <v>42926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42926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42926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42926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42926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42926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42926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42926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42926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42926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42926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42926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42926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42926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42926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42926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42926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42926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42926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42926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42926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42926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42926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42926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42926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42926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42926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42926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42926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42926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42926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42926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42926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42926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42926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42926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42926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42926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42926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42926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42926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42926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42926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42926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42926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42926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42926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42926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42926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42926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42926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42926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42926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42926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42926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42926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42926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42926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42926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42926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42926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42926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42926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42926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42926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42926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42926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42926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2017-07-10T07:32:21Z</dcterms:modified>
</cp:coreProperties>
</file>