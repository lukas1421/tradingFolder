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<sst xmlns="http://schemas.openxmlformats.org/spreadsheetml/2006/main" count="739" uniqueCount="183">
  <si>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</si>
  <si>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</si>
  <si>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</si>
  <si>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</si>
  <si>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</si>
  <si>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</si>
  <si>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</si>
  <si>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</si>
  <si>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</si>
  <si>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</si>
  <si>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</si>
  <si>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</si>
  <si>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</si>
  <si>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</si>
  <si>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</si>
  <si>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</si>
  <si>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</si>
  <si>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</si>
  <si>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</si>
  <si>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</si>
  <si>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</si>
  <si>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</si>
  <si>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</si>
  <si>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</si>
  <si>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</si>
  <si>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</si>
  <si>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</si>
  <si>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</si>
  <si>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</si>
  <si>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</si>
  <si>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</si>
  <si>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</si>
  <si>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</si>
  <si>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</si>
  <si>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</si>
  <si>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买入</t>
  </si>
  <si>
    <t>600874</t>
  </si>
  <si>
    <t>凯乐科技</t>
  </si>
  <si>
    <t>600260</t>
  </si>
  <si>
    <t>上汽集团</t>
  </si>
  <si>
    <t>600104</t>
  </si>
  <si>
    <t>陕西煤业</t>
  </si>
  <si>
    <t>601225</t>
  </si>
  <si>
    <t>广汽集团</t>
  </si>
  <si>
    <t>601238</t>
  </si>
  <si>
    <t>三花智控</t>
  </si>
  <si>
    <t>002050</t>
  </si>
  <si>
    <t>14:58:55</t>
  </si>
  <si>
    <t>1403</t>
  </si>
  <si>
    <t>0004034</t>
  </si>
  <si>
    <t>格力电器</t>
  </si>
  <si>
    <t>14:58:06</t>
  </si>
  <si>
    <t>1399</t>
  </si>
  <si>
    <t>000651</t>
  </si>
  <si>
    <t>0000ADJ</t>
  </si>
  <si>
    <t>贵州茅台</t>
  </si>
  <si>
    <t>14:57:48</t>
  </si>
  <si>
    <t>1396</t>
  </si>
  <si>
    <t>600519</t>
  </si>
  <si>
    <t>0003999</t>
  </si>
  <si>
    <t>东方证券</t>
  </si>
  <si>
    <t>14:17:48</t>
  </si>
  <si>
    <t>1389</t>
  </si>
  <si>
    <t>600958</t>
  </si>
  <si>
    <t>0003279</t>
  </si>
  <si>
    <t>招商银行</t>
  </si>
  <si>
    <t>14:16:22</t>
  </si>
  <si>
    <t>1383</t>
  </si>
  <si>
    <t>600036</t>
  </si>
  <si>
    <t>0003259</t>
  </si>
  <si>
    <t>14:15:29</t>
  </si>
  <si>
    <t>1380</t>
  </si>
  <si>
    <t>0003252</t>
  </si>
  <si>
    <t>14:14:32</t>
  </si>
  <si>
    <t>1374</t>
  </si>
  <si>
    <t>0003236</t>
  </si>
  <si>
    <t>XD创业环</t>
  </si>
  <si>
    <t>14:11:23</t>
  </si>
  <si>
    <t>1360</t>
  </si>
  <si>
    <t>0003190</t>
  </si>
  <si>
    <t>14:10:54</t>
  </si>
  <si>
    <t>1354</t>
  </si>
  <si>
    <t>00008TH</t>
  </si>
  <si>
    <t>14:10:03</t>
  </si>
  <si>
    <t>1351</t>
  </si>
  <si>
    <t>00008SK</t>
  </si>
  <si>
    <t>13:25:28</t>
  </si>
  <si>
    <t>1348</t>
  </si>
  <si>
    <t>00007Q1</t>
  </si>
  <si>
    <t>13:23:07</t>
  </si>
  <si>
    <t>1345</t>
  </si>
  <si>
    <t>0002576</t>
  </si>
  <si>
    <t>13:21:31</t>
  </si>
  <si>
    <t>1342</t>
  </si>
  <si>
    <t>00007LH</t>
  </si>
  <si>
    <t>13:20:19</t>
  </si>
  <si>
    <t>1339</t>
  </si>
  <si>
    <t>00007JS</t>
  </si>
  <si>
    <t>13:20:10</t>
  </si>
  <si>
    <t>1335</t>
  </si>
  <si>
    <t>00007JN</t>
  </si>
  <si>
    <t>10:29:22</t>
  </si>
  <si>
    <t>1328</t>
  </si>
  <si>
    <t>00004II</t>
  </si>
  <si>
    <t>10:29:10</t>
  </si>
  <si>
    <t>1325</t>
  </si>
  <si>
    <t>0001546</t>
  </si>
  <si>
    <t>10:27:46</t>
  </si>
  <si>
    <t>1319</t>
  </si>
  <si>
    <t>0001521</t>
  </si>
  <si>
    <t>10:27:37</t>
  </si>
  <si>
    <t>1317</t>
  </si>
  <si>
    <t>00004FM</t>
  </si>
  <si>
    <t>10:27:20</t>
  </si>
  <si>
    <t>1315</t>
  </si>
  <si>
    <t>0001517</t>
  </si>
  <si>
    <t>10:27:10</t>
  </si>
  <si>
    <t>1313</t>
  </si>
  <si>
    <t>0001511</t>
  </si>
  <si>
    <t>海康威视</t>
  </si>
  <si>
    <t>10:26:08</t>
  </si>
  <si>
    <t>1310</t>
  </si>
  <si>
    <t>002415</t>
  </si>
  <si>
    <t>00004DD</t>
  </si>
  <si>
    <t>10:25:55</t>
  </si>
  <si>
    <t>1306</t>
  </si>
  <si>
    <t>00004D0</t>
  </si>
  <si>
    <t>10:25:40</t>
  </si>
  <si>
    <t>1303</t>
  </si>
  <si>
    <t>0001482</t>
  </si>
  <si>
    <t>10:25:26</t>
  </si>
  <si>
    <t>1300</t>
  </si>
  <si>
    <t>0001477</t>
  </si>
  <si>
    <t>10:21:03</t>
  </si>
  <si>
    <t>1296</t>
  </si>
  <si>
    <t>0001415</t>
  </si>
  <si>
    <t>10:20:46</t>
  </si>
  <si>
    <t>1293</t>
  </si>
  <si>
    <t>0001412</t>
  </si>
  <si>
    <t>10:20:00</t>
  </si>
  <si>
    <t>1290</t>
  </si>
  <si>
    <t>0001399</t>
  </si>
  <si>
    <t>10:19:40</t>
  </si>
  <si>
    <t>1287</t>
  </si>
  <si>
    <t>000043C</t>
  </si>
  <si>
    <t>10:18:23</t>
  </si>
  <si>
    <t>1282</t>
  </si>
  <si>
    <t>000040Y</t>
  </si>
  <si>
    <t>10:18:07</t>
  </si>
  <si>
    <t>1278</t>
  </si>
  <si>
    <t>0001369</t>
  </si>
  <si>
    <t>10:17:01</t>
  </si>
  <si>
    <t>1274</t>
  </si>
  <si>
    <t>0001360</t>
  </si>
  <si>
    <t>10:16:10</t>
  </si>
  <si>
    <t>1268</t>
  </si>
  <si>
    <t>00003WH</t>
  </si>
  <si>
    <t>10:14:34</t>
  </si>
  <si>
    <t>1263</t>
  </si>
  <si>
    <t>0001325</t>
  </si>
  <si>
    <t>10:14:23</t>
  </si>
  <si>
    <t>1260</t>
  </si>
  <si>
    <t>00003SN</t>
  </si>
  <si>
    <t>10:13:48</t>
  </si>
  <si>
    <t>1257</t>
  </si>
  <si>
    <t>0001311</t>
  </si>
  <si>
    <t>10:10:26</t>
  </si>
  <si>
    <t>1254</t>
  </si>
  <si>
    <t>0001264</t>
  </si>
  <si>
    <t>10:09:34</t>
  </si>
  <si>
    <t>1249</t>
  </si>
  <si>
    <t>00003HT</t>
  </si>
  <si>
    <t>长江电力</t>
  </si>
  <si>
    <t>10:06:10</t>
  </si>
  <si>
    <t>1246</t>
  </si>
  <si>
    <t>600900</t>
  </si>
  <si>
    <t>0001171</t>
  </si>
  <si>
    <t>10:02:48</t>
  </si>
  <si>
    <t>1241</t>
  </si>
  <si>
    <t>0001075</t>
  </si>
  <si>
    <t>09:52:37</t>
  </si>
  <si>
    <t>1238</t>
  </si>
  <si>
    <t>0000835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</si>
</sst>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4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41</v>
      </c>
      <c r="B2" s="7" t="s">
        <v>33</v>
      </c>
      <c r="C2" s="7">
        <v>8.01</v>
      </c>
      <c r="D2" s="7">
        <v>4800</v>
      </c>
      <c r="E2" s="7">
        <v>8.01</v>
      </c>
      <c r="F2" s="7">
        <v>4800</v>
      </c>
      <c r="G2" s="7" t="s">
        <v>29</v>
      </c>
      <c r="H2" s="7" t="s">
        <v>47</v>
      </c>
      <c r="I2" s="7" t="s">
        <v>48</v>
      </c>
      <c r="J2" s="7" t="s">
        <v>42</v>
      </c>
      <c r="K2" s="7" t="s">
        <v>30</v>
      </c>
      <c r="L2" s="7" t="s">
        <v>31</v>
      </c>
      <c r="M2" s="7" t="s">
        <v>32</v>
      </c>
      <c r="N2" s="7" t="s">
        <v>49</v>
      </c>
      <c r="O2" s="4"/>
    </row>
    <row r="3" spans="1:15" x14ac:dyDescent="0.15">
      <c r="A3" s="7" t="s">
        <v>50</v>
      </c>
      <c r="B3" s="7" t="s">
        <v>33</v>
      </c>
      <c r="C3" s="7">
        <v>41</v>
      </c>
      <c r="D3" s="7">
        <v>600</v>
      </c>
      <c r="E3" s="7">
        <v>41.01</v>
      </c>
      <c r="F3" s="7">
        <v>600</v>
      </c>
      <c r="G3" s="7" t="s">
        <v>29</v>
      </c>
      <c r="H3" s="7" t="s">
        <v>51</v>
      </c>
      <c r="I3" s="7" t="s">
        <v>52</v>
      </c>
      <c r="J3" s="7" t="s">
        <v>53</v>
      </c>
      <c r="K3" s="7" t="s">
        <v>34</v>
      </c>
      <c r="L3" s="7" t="s">
        <v>31</v>
      </c>
      <c r="M3" s="7" t="s">
        <v>32</v>
      </c>
      <c r="N3" s="7" t="s">
        <v>54</v>
      </c>
      <c r="O3" s="4"/>
    </row>
    <row r="4" spans="1:15" x14ac:dyDescent="0.15">
      <c r="A4" s="7" t="s">
        <v>55</v>
      </c>
      <c r="B4" s="7" t="s">
        <v>33</v>
      </c>
      <c r="C4" s="7">
        <v>456.3</v>
      </c>
      <c r="D4" s="7">
        <v>100</v>
      </c>
      <c r="E4" s="7">
        <v>456.3</v>
      </c>
      <c r="F4" s="7">
        <v>100</v>
      </c>
      <c r="G4" s="7" t="s">
        <v>29</v>
      </c>
      <c r="H4" s="7" t="s">
        <v>56</v>
      </c>
      <c r="I4" s="7" t="s">
        <v>57</v>
      </c>
      <c r="J4" s="7" t="s">
        <v>58</v>
      </c>
      <c r="K4" s="7" t="s">
        <v>30</v>
      </c>
      <c r="L4" s="7" t="s">
        <v>31</v>
      </c>
      <c r="M4" s="7" t="s">
        <v>32</v>
      </c>
      <c r="N4" s="7" t="s">
        <v>59</v>
      </c>
    </row>
    <row r="5" spans="1:15" x14ac:dyDescent="0.15">
      <c r="A5" s="7" t="s">
        <v>60</v>
      </c>
      <c r="B5" s="7" t="s">
        <v>33</v>
      </c>
      <c r="C5" s="7">
        <v>14.64</v>
      </c>
      <c r="D5" s="7">
        <v>6500</v>
      </c>
      <c r="E5" s="7">
        <v>14.64</v>
      </c>
      <c r="F5" s="7">
        <v>6500</v>
      </c>
      <c r="G5" s="7" t="s">
        <v>29</v>
      </c>
      <c r="H5" s="7" t="s">
        <v>61</v>
      </c>
      <c r="I5" s="7" t="s">
        <v>62</v>
      </c>
      <c r="J5" s="7" t="s">
        <v>63</v>
      </c>
      <c r="K5" s="7" t="s">
        <v>30</v>
      </c>
      <c r="L5" s="7" t="s">
        <v>31</v>
      </c>
      <c r="M5" s="7" t="s">
        <v>32</v>
      </c>
      <c r="N5" s="7" t="s">
        <v>64</v>
      </c>
    </row>
    <row r="6" spans="1:15" x14ac:dyDescent="0.15">
      <c r="A6" s="7" t="s">
        <v>65</v>
      </c>
      <c r="B6" s="7" t="s">
        <v>33</v>
      </c>
      <c r="C6" s="7">
        <v>24.77</v>
      </c>
      <c r="D6" s="7">
        <v>4000</v>
      </c>
      <c r="E6" s="7">
        <v>24.78</v>
      </c>
      <c r="F6" s="7">
        <v>4000</v>
      </c>
      <c r="G6" s="7" t="s">
        <v>29</v>
      </c>
      <c r="H6" s="7" t="s">
        <v>66</v>
      </c>
      <c r="I6" s="7" t="s">
        <v>67</v>
      </c>
      <c r="J6" s="7" t="s">
        <v>68</v>
      </c>
      <c r="K6" s="7" t="s">
        <v>30</v>
      </c>
      <c r="L6" s="7" t="s">
        <v>31</v>
      </c>
      <c r="M6" s="7" t="s">
        <v>32</v>
      </c>
      <c r="N6" s="7" t="s">
        <v>69</v>
      </c>
    </row>
    <row r="7" spans="1:15" x14ac:dyDescent="0.15">
      <c r="A7" s="7" t="s">
        <v>37</v>
      </c>
      <c r="B7" s="7" t="s">
        <v>33</v>
      </c>
      <c r="C7" s="7">
        <v>27.26</v>
      </c>
      <c r="D7" s="7">
        <v>2800</v>
      </c>
      <c r="E7" s="7">
        <v>27.26</v>
      </c>
      <c r="F7" s="7">
        <v>2800</v>
      </c>
      <c r="G7" s="7" t="s">
        <v>29</v>
      </c>
      <c r="H7" s="7" t="s">
        <v>70</v>
      </c>
      <c r="I7" s="7" t="s">
        <v>71</v>
      </c>
      <c r="J7" s="7" t="s">
        <v>38</v>
      </c>
      <c r="K7" s="7" t="s">
        <v>30</v>
      </c>
      <c r="L7" s="7" t="s">
        <v>31</v>
      </c>
      <c r="M7" s="7" t="s">
        <v>32</v>
      </c>
      <c r="N7" s="7" t="s">
        <v>72</v>
      </c>
    </row>
    <row r="8" spans="1:15" x14ac:dyDescent="0.15">
      <c r="A8" s="7" t="s">
        <v>43</v>
      </c>
      <c r="B8" s="7" t="s">
        <v>33</v>
      </c>
      <c r="C8" s="7">
        <v>26.18</v>
      </c>
      <c r="D8" s="7">
        <v>2500</v>
      </c>
      <c r="E8" s="7">
        <v>26.18</v>
      </c>
      <c r="F8" s="7">
        <v>2500</v>
      </c>
      <c r="G8" s="7" t="s">
        <v>29</v>
      </c>
      <c r="H8" s="7" t="s">
        <v>73</v>
      </c>
      <c r="I8" s="7" t="s">
        <v>74</v>
      </c>
      <c r="J8" s="7" t="s">
        <v>44</v>
      </c>
      <c r="K8" s="7" t="s">
        <v>30</v>
      </c>
      <c r="L8" s="7" t="s">
        <v>31</v>
      </c>
      <c r="M8" s="7" t="s">
        <v>32</v>
      </c>
      <c r="N8" s="7" t="s">
        <v>75</v>
      </c>
    </row>
    <row r="9" spans="1:15" x14ac:dyDescent="0.15">
      <c r="A9" s="7" t="s">
        <v>76</v>
      </c>
      <c r="B9" s="7" t="s">
        <v>33</v>
      </c>
      <c r="C9" s="7">
        <v>17.579999999999998</v>
      </c>
      <c r="D9" s="7">
        <v>4400</v>
      </c>
      <c r="E9" s="7">
        <v>17.579999999999998</v>
      </c>
      <c r="F9" s="7">
        <v>4400</v>
      </c>
      <c r="G9" s="7" t="s">
        <v>29</v>
      </c>
      <c r="H9" s="7" t="s">
        <v>77</v>
      </c>
      <c r="I9" s="7" t="s">
        <v>78</v>
      </c>
      <c r="J9" s="7" t="s">
        <v>36</v>
      </c>
      <c r="K9" s="7" t="s">
        <v>30</v>
      </c>
      <c r="L9" s="7" t="s">
        <v>31</v>
      </c>
      <c r="M9" s="7" t="s">
        <v>32</v>
      </c>
      <c r="N9" s="7" t="s">
        <v>79</v>
      </c>
    </row>
    <row r="10" spans="1:15" x14ac:dyDescent="0.15">
      <c r="A10" s="7" t="s">
        <v>45</v>
      </c>
      <c r="B10" s="7" t="s">
        <v>33</v>
      </c>
      <c r="C10" s="7">
        <v>15.09</v>
      </c>
      <c r="D10" s="7">
        <v>1800</v>
      </c>
      <c r="E10" s="7">
        <v>15.09</v>
      </c>
      <c r="F10" s="7">
        <v>1800</v>
      </c>
      <c r="G10" s="7" t="s">
        <v>29</v>
      </c>
      <c r="H10" s="7" t="s">
        <v>80</v>
      </c>
      <c r="I10" s="7" t="s">
        <v>81</v>
      </c>
      <c r="J10" s="7" t="s">
        <v>46</v>
      </c>
      <c r="K10" s="7" t="s">
        <v>34</v>
      </c>
      <c r="L10" s="7" t="s">
        <v>31</v>
      </c>
      <c r="M10" s="7" t="s">
        <v>32</v>
      </c>
      <c r="N10" s="7" t="s">
        <v>82</v>
      </c>
      <c r="O10" s="7"/>
    </row>
    <row r="11" spans="1:15" x14ac:dyDescent="0.15">
      <c r="A11" s="7" t="s">
        <v>45</v>
      </c>
      <c r="B11" s="7" t="s">
        <v>33</v>
      </c>
      <c r="C11" s="7">
        <v>15.07</v>
      </c>
      <c r="D11" s="7">
        <v>1800</v>
      </c>
      <c r="E11" s="7">
        <v>15.07</v>
      </c>
      <c r="F11" s="7">
        <v>1800</v>
      </c>
      <c r="G11" s="7" t="s">
        <v>29</v>
      </c>
      <c r="H11" s="7" t="s">
        <v>83</v>
      </c>
      <c r="I11" s="7" t="s">
        <v>84</v>
      </c>
      <c r="J11" s="7" t="s">
        <v>46</v>
      </c>
      <c r="K11" s="7" t="s">
        <v>34</v>
      </c>
      <c r="L11" s="7" t="s">
        <v>31</v>
      </c>
      <c r="M11" s="7" t="s">
        <v>32</v>
      </c>
      <c r="N11" s="7" t="s">
        <v>85</v>
      </c>
    </row>
    <row r="12" spans="1:15" x14ac:dyDescent="0.15">
      <c r="A12" s="7" t="s">
        <v>45</v>
      </c>
      <c r="B12" s="7" t="s">
        <v>35</v>
      </c>
      <c r="C12" s="7">
        <v>15.87</v>
      </c>
      <c r="D12" s="7">
        <v>1200</v>
      </c>
      <c r="E12" s="7">
        <v>15.87</v>
      </c>
      <c r="F12" s="7">
        <v>1200</v>
      </c>
      <c r="G12" s="7" t="s">
        <v>29</v>
      </c>
      <c r="H12" s="7" t="s">
        <v>86</v>
      </c>
      <c r="I12" s="7" t="s">
        <v>87</v>
      </c>
      <c r="J12" s="7" t="s">
        <v>46</v>
      </c>
      <c r="K12" s="7" t="s">
        <v>34</v>
      </c>
      <c r="L12" s="7" t="s">
        <v>31</v>
      </c>
      <c r="M12" s="7" t="s">
        <v>32</v>
      </c>
      <c r="N12" s="7" t="s">
        <v>88</v>
      </c>
    </row>
    <row r="13" spans="1:15" x14ac:dyDescent="0.15">
      <c r="A13" s="7" t="s">
        <v>55</v>
      </c>
      <c r="B13" s="7" t="s">
        <v>35</v>
      </c>
      <c r="C13" s="7">
        <v>456.07</v>
      </c>
      <c r="D13" s="7">
        <v>100</v>
      </c>
      <c r="E13" s="7">
        <v>456.07</v>
      </c>
      <c r="F13" s="7">
        <v>100</v>
      </c>
      <c r="G13" s="7" t="s">
        <v>29</v>
      </c>
      <c r="H13" s="7" t="s">
        <v>89</v>
      </c>
      <c r="I13" s="7" t="s">
        <v>90</v>
      </c>
      <c r="J13" s="7" t="s">
        <v>58</v>
      </c>
      <c r="K13" s="7" t="s">
        <v>30</v>
      </c>
      <c r="L13" s="7" t="s">
        <v>31</v>
      </c>
      <c r="M13" s="7" t="s">
        <v>32</v>
      </c>
      <c r="N13" s="7" t="s">
        <v>91</v>
      </c>
    </row>
    <row r="14" spans="1:15" x14ac:dyDescent="0.15">
      <c r="A14" s="7" t="s">
        <v>45</v>
      </c>
      <c r="B14" s="7" t="s">
        <v>35</v>
      </c>
      <c r="C14" s="7">
        <v>15.97</v>
      </c>
      <c r="D14" s="7">
        <v>1200</v>
      </c>
      <c r="E14" s="7">
        <v>15.97</v>
      </c>
      <c r="F14" s="7">
        <v>1200</v>
      </c>
      <c r="G14" s="7" t="s">
        <v>29</v>
      </c>
      <c r="H14" s="7" t="s">
        <v>92</v>
      </c>
      <c r="I14" s="7" t="s">
        <v>93</v>
      </c>
      <c r="J14" s="7" t="s">
        <v>46</v>
      </c>
      <c r="K14" s="7" t="s">
        <v>34</v>
      </c>
      <c r="L14" s="7" t="s">
        <v>31</v>
      </c>
      <c r="M14" s="7" t="s">
        <v>32</v>
      </c>
      <c r="N14" s="7" t="s">
        <v>94</v>
      </c>
    </row>
    <row r="15" spans="1:15" x14ac:dyDescent="0.15">
      <c r="A15" s="7" t="s">
        <v>45</v>
      </c>
      <c r="B15" s="7" t="s">
        <v>35</v>
      </c>
      <c r="C15" s="7">
        <v>16.010000000000002</v>
      </c>
      <c r="D15" s="7">
        <v>1200</v>
      </c>
      <c r="E15" s="7">
        <v>16.010000000000002</v>
      </c>
      <c r="F15" s="7">
        <v>1200</v>
      </c>
      <c r="G15" s="7" t="s">
        <v>29</v>
      </c>
      <c r="H15" s="7" t="s">
        <v>95</v>
      </c>
      <c r="I15" s="7" t="s">
        <v>96</v>
      </c>
      <c r="J15" s="7" t="s">
        <v>46</v>
      </c>
      <c r="K15" s="7" t="s">
        <v>34</v>
      </c>
      <c r="L15" s="7" t="s">
        <v>31</v>
      </c>
      <c r="M15" s="7" t="s">
        <v>32</v>
      </c>
      <c r="N15" s="7" t="s">
        <v>97</v>
      </c>
    </row>
    <row r="16" spans="1:15" x14ac:dyDescent="0.15">
      <c r="A16" s="7" t="s">
        <v>45</v>
      </c>
      <c r="B16" s="7" t="s">
        <v>35</v>
      </c>
      <c r="C16" s="7">
        <v>16.02</v>
      </c>
      <c r="D16" s="7">
        <v>1200</v>
      </c>
      <c r="E16" s="7">
        <v>16.010000000000002</v>
      </c>
      <c r="F16" s="7">
        <v>1200</v>
      </c>
      <c r="G16" s="7" t="s">
        <v>29</v>
      </c>
      <c r="H16" s="7" t="s">
        <v>98</v>
      </c>
      <c r="I16" s="7" t="s">
        <v>99</v>
      </c>
      <c r="J16" s="7" t="s">
        <v>46</v>
      </c>
      <c r="K16" s="7" t="s">
        <v>34</v>
      </c>
      <c r="L16" s="7" t="s">
        <v>31</v>
      </c>
      <c r="M16" s="7" t="s">
        <v>32</v>
      </c>
      <c r="N16" s="7" t="s">
        <v>100</v>
      </c>
      <c r="O16" s="7"/>
    </row>
    <row r="17" spans="1:15" x14ac:dyDescent="0.15">
      <c r="A17" s="7" t="s">
        <v>50</v>
      </c>
      <c r="B17" s="7" t="s">
        <v>35</v>
      </c>
      <c r="C17" s="7">
        <v>40.65</v>
      </c>
      <c r="D17" s="7">
        <v>400</v>
      </c>
      <c r="E17" s="7">
        <v>40.64</v>
      </c>
      <c r="F17" s="7">
        <v>400</v>
      </c>
      <c r="G17" s="7" t="s">
        <v>29</v>
      </c>
      <c r="H17" s="7" t="s">
        <v>101</v>
      </c>
      <c r="I17" s="7" t="s">
        <v>102</v>
      </c>
      <c r="J17" s="7" t="s">
        <v>53</v>
      </c>
      <c r="K17" s="7" t="s">
        <v>34</v>
      </c>
      <c r="L17" s="7" t="s">
        <v>31</v>
      </c>
      <c r="M17" s="7" t="s">
        <v>32</v>
      </c>
      <c r="N17" s="7" t="s">
        <v>103</v>
      </c>
    </row>
    <row r="18" spans="1:15" x14ac:dyDescent="0.15">
      <c r="A18" s="7" t="s">
        <v>43</v>
      </c>
      <c r="B18" s="7" t="s">
        <v>35</v>
      </c>
      <c r="C18" s="7">
        <v>26.01</v>
      </c>
      <c r="D18" s="7">
        <v>1400</v>
      </c>
      <c r="E18" s="7">
        <v>26.01</v>
      </c>
      <c r="F18" s="7">
        <v>1400</v>
      </c>
      <c r="G18" s="7" t="s">
        <v>29</v>
      </c>
      <c r="H18" s="7" t="s">
        <v>104</v>
      </c>
      <c r="I18" s="7" t="s">
        <v>105</v>
      </c>
      <c r="J18" s="7" t="s">
        <v>44</v>
      </c>
      <c r="K18" s="7" t="s">
        <v>30</v>
      </c>
      <c r="L18" s="7" t="s">
        <v>31</v>
      </c>
      <c r="M18" s="7" t="s">
        <v>32</v>
      </c>
      <c r="N18" s="7" t="s">
        <v>106</v>
      </c>
      <c r="O18" s="7">
        <f>+E18*F18/36</f>
        <v>1011.5</v>
      </c>
    </row>
    <row r="19" spans="1:15" x14ac:dyDescent="0.15">
      <c r="A19" s="7" t="s">
        <v>41</v>
      </c>
      <c r="B19" s="7" t="s">
        <v>35</v>
      </c>
      <c r="C19" s="7">
        <v>7.99</v>
      </c>
      <c r="D19" s="7">
        <v>2500</v>
      </c>
      <c r="E19" s="7">
        <v>7.99</v>
      </c>
      <c r="F19" s="7">
        <v>2500</v>
      </c>
      <c r="G19" s="7" t="s">
        <v>29</v>
      </c>
      <c r="H19" s="7" t="s">
        <v>107</v>
      </c>
      <c r="I19" s="7" t="s">
        <v>108</v>
      </c>
      <c r="J19" s="7" t="s">
        <v>42</v>
      </c>
      <c r="K19" s="7" t="s">
        <v>30</v>
      </c>
      <c r="L19" s="7" t="s">
        <v>31</v>
      </c>
      <c r="M19" s="7" t="s">
        <v>32</v>
      </c>
      <c r="N19" s="7" t="s">
        <v>109</v>
      </c>
    </row>
    <row r="20" spans="1:15" x14ac:dyDescent="0.15">
      <c r="A20" s="7" t="s">
        <v>50</v>
      </c>
      <c r="B20" s="7" t="s">
        <v>35</v>
      </c>
      <c r="C20" s="7">
        <v>40.61</v>
      </c>
      <c r="D20" s="7">
        <v>400</v>
      </c>
      <c r="E20" s="7">
        <v>40.61</v>
      </c>
      <c r="F20" s="7">
        <v>400</v>
      </c>
      <c r="G20" s="7" t="s">
        <v>29</v>
      </c>
      <c r="H20" s="7" t="s">
        <v>110</v>
      </c>
      <c r="I20" s="7" t="s">
        <v>111</v>
      </c>
      <c r="J20" s="7" t="s">
        <v>53</v>
      </c>
      <c r="K20" s="7" t="s">
        <v>34</v>
      </c>
      <c r="L20" s="7" t="s">
        <v>31</v>
      </c>
      <c r="M20" s="7" t="s">
        <v>32</v>
      </c>
      <c r="N20" s="7" t="s">
        <v>112</v>
      </c>
    </row>
    <row r="21" spans="1:15" x14ac:dyDescent="0.15">
      <c r="A21" s="7" t="s">
        <v>65</v>
      </c>
      <c r="B21" s="7" t="s">
        <v>35</v>
      </c>
      <c r="C21" s="7">
        <v>24.74</v>
      </c>
      <c r="D21" s="7">
        <v>800</v>
      </c>
      <c r="E21" s="7">
        <v>24.74</v>
      </c>
      <c r="F21" s="7">
        <v>800</v>
      </c>
      <c r="G21" s="7" t="s">
        <v>29</v>
      </c>
      <c r="H21" s="7" t="s">
        <v>113</v>
      </c>
      <c r="I21" s="7" t="s">
        <v>114</v>
      </c>
      <c r="J21" s="7" t="s">
        <v>68</v>
      </c>
      <c r="K21" s="7" t="s">
        <v>30</v>
      </c>
      <c r="L21" s="7" t="s">
        <v>31</v>
      </c>
      <c r="M21" s="7" t="s">
        <v>32</v>
      </c>
      <c r="N21" s="7" t="s">
        <v>115</v>
      </c>
    </row>
    <row r="22" spans="1:15" x14ac:dyDescent="0.15">
      <c r="A22" s="7" t="s">
        <v>60</v>
      </c>
      <c r="B22" s="7" t="s">
        <v>35</v>
      </c>
      <c r="C22" s="7">
        <v>14.52</v>
      </c>
      <c r="D22" s="7">
        <v>1300</v>
      </c>
      <c r="E22" s="7">
        <v>14.52</v>
      </c>
      <c r="F22" s="7">
        <v>1300</v>
      </c>
      <c r="G22" s="7" t="s">
        <v>29</v>
      </c>
      <c r="H22" s="7" t="s">
        <v>116</v>
      </c>
      <c r="I22" s="7" t="s">
        <v>117</v>
      </c>
      <c r="J22" s="7" t="s">
        <v>63</v>
      </c>
      <c r="K22" s="7" t="s">
        <v>30</v>
      </c>
      <c r="L22" s="7" t="s">
        <v>31</v>
      </c>
      <c r="M22" s="7" t="s">
        <v>32</v>
      </c>
      <c r="N22" s="7" t="s">
        <v>118</v>
      </c>
    </row>
    <row r="23" spans="1:15" x14ac:dyDescent="0.15">
      <c r="A23" s="7" t="s">
        <v>119</v>
      </c>
      <c r="B23" s="7" t="s">
        <v>35</v>
      </c>
      <c r="C23" s="7">
        <v>29.86</v>
      </c>
      <c r="D23" s="7">
        <v>600</v>
      </c>
      <c r="E23" s="7">
        <v>29.86</v>
      </c>
      <c r="F23" s="7">
        <v>600</v>
      </c>
      <c r="G23" s="7" t="s">
        <v>29</v>
      </c>
      <c r="H23" s="7" t="s">
        <v>120</v>
      </c>
      <c r="I23" s="7" t="s">
        <v>121</v>
      </c>
      <c r="J23" s="7" t="s">
        <v>122</v>
      </c>
      <c r="K23" s="7" t="s">
        <v>34</v>
      </c>
      <c r="L23" s="7" t="s">
        <v>31</v>
      </c>
      <c r="M23" s="7" t="s">
        <v>32</v>
      </c>
      <c r="N23" s="7" t="s">
        <v>123</v>
      </c>
    </row>
    <row r="24" spans="1:15" x14ac:dyDescent="0.15">
      <c r="A24" s="7" t="s">
        <v>50</v>
      </c>
      <c r="B24" s="7" t="s">
        <v>35</v>
      </c>
      <c r="C24" s="7">
        <v>40.6</v>
      </c>
      <c r="D24" s="7">
        <v>400</v>
      </c>
      <c r="E24" s="7">
        <v>40.6</v>
      </c>
      <c r="F24" s="7">
        <v>400</v>
      </c>
      <c r="G24" s="7" t="s">
        <v>29</v>
      </c>
      <c r="H24" s="7" t="s">
        <v>124</v>
      </c>
      <c r="I24" s="7" t="s">
        <v>125</v>
      </c>
      <c r="J24" s="7" t="s">
        <v>53</v>
      </c>
      <c r="K24" s="7" t="s">
        <v>34</v>
      </c>
      <c r="L24" s="7" t="s">
        <v>31</v>
      </c>
      <c r="M24" s="7" t="s">
        <v>32</v>
      </c>
      <c r="N24" s="7" t="s">
        <v>126</v>
      </c>
    </row>
    <row r="25" spans="1:15" x14ac:dyDescent="0.15">
      <c r="A25" s="7" t="s">
        <v>55</v>
      </c>
      <c r="B25" s="7" t="s">
        <v>35</v>
      </c>
      <c r="C25" s="7">
        <v>455.13</v>
      </c>
      <c r="D25" s="7">
        <v>100</v>
      </c>
      <c r="E25" s="7">
        <v>455.13</v>
      </c>
      <c r="F25" s="7">
        <v>100</v>
      </c>
      <c r="G25" s="7" t="s">
        <v>29</v>
      </c>
      <c r="H25" s="7" t="s">
        <v>127</v>
      </c>
      <c r="I25" s="7" t="s">
        <v>128</v>
      </c>
      <c r="J25" s="7" t="s">
        <v>58</v>
      </c>
      <c r="K25" s="7" t="s">
        <v>30</v>
      </c>
      <c r="L25" s="7" t="s">
        <v>31</v>
      </c>
      <c r="M25" s="7" t="s">
        <v>32</v>
      </c>
      <c r="N25" s="7" t="s">
        <v>129</v>
      </c>
    </row>
    <row r="26" spans="1:15" x14ac:dyDescent="0.15">
      <c r="A26" s="7" t="s">
        <v>41</v>
      </c>
      <c r="B26" s="7" t="s">
        <v>35</v>
      </c>
      <c r="C26" s="7">
        <v>8</v>
      </c>
      <c r="D26" s="7">
        <v>2500</v>
      </c>
      <c r="E26" s="7">
        <v>8</v>
      </c>
      <c r="F26" s="7">
        <v>2500</v>
      </c>
      <c r="G26" s="7" t="s">
        <v>29</v>
      </c>
      <c r="H26" s="7" t="s">
        <v>130</v>
      </c>
      <c r="I26" s="7" t="s">
        <v>131</v>
      </c>
      <c r="J26" s="7" t="s">
        <v>42</v>
      </c>
      <c r="K26" s="7" t="s">
        <v>30</v>
      </c>
      <c r="L26" s="7" t="s">
        <v>31</v>
      </c>
      <c r="M26" s="7" t="s">
        <v>32</v>
      </c>
      <c r="N26" s="7" t="s">
        <v>132</v>
      </c>
    </row>
    <row r="27" spans="1:15" x14ac:dyDescent="0.15">
      <c r="A27" s="7" t="s">
        <v>60</v>
      </c>
      <c r="B27" s="7" t="s">
        <v>35</v>
      </c>
      <c r="C27" s="7">
        <v>14.57</v>
      </c>
      <c r="D27" s="7">
        <v>2600</v>
      </c>
      <c r="E27" s="7">
        <v>14.569000000000001</v>
      </c>
      <c r="F27" s="7">
        <v>2600</v>
      </c>
      <c r="G27" s="7" t="s">
        <v>29</v>
      </c>
      <c r="H27" s="7" t="s">
        <v>133</v>
      </c>
      <c r="I27" s="7" t="s">
        <v>134</v>
      </c>
      <c r="J27" s="7" t="s">
        <v>63</v>
      </c>
      <c r="K27" s="7" t="s">
        <v>30</v>
      </c>
      <c r="L27" s="7" t="s">
        <v>31</v>
      </c>
      <c r="M27" s="7" t="s">
        <v>32</v>
      </c>
      <c r="N27" s="7" t="s">
        <v>135</v>
      </c>
    </row>
    <row r="28" spans="1:15" x14ac:dyDescent="0.15">
      <c r="A28" s="7" t="s">
        <v>41</v>
      </c>
      <c r="B28" s="7" t="s">
        <v>35</v>
      </c>
      <c r="C28" s="7">
        <v>8.0500000000000007</v>
      </c>
      <c r="D28" s="7">
        <v>4800</v>
      </c>
      <c r="E28" s="7">
        <v>8.0500000000000007</v>
      </c>
      <c r="F28" s="7">
        <v>4800</v>
      </c>
      <c r="G28" s="7" t="s">
        <v>29</v>
      </c>
      <c r="H28" s="7" t="s">
        <v>136</v>
      </c>
      <c r="I28" s="7" t="s">
        <v>137</v>
      </c>
      <c r="J28" s="7" t="s">
        <v>42</v>
      </c>
      <c r="K28" s="7" t="s">
        <v>30</v>
      </c>
      <c r="L28" s="7" t="s">
        <v>31</v>
      </c>
      <c r="M28" s="7" t="s">
        <v>32</v>
      </c>
      <c r="N28" s="7" t="s">
        <v>138</v>
      </c>
    </row>
    <row r="29" spans="1:15" x14ac:dyDescent="0.15">
      <c r="A29" s="7" t="s">
        <v>65</v>
      </c>
      <c r="B29" s="7" t="s">
        <v>35</v>
      </c>
      <c r="C29" s="7">
        <v>24.96</v>
      </c>
      <c r="D29" s="7">
        <v>1600</v>
      </c>
      <c r="E29" s="7">
        <v>24.96</v>
      </c>
      <c r="F29" s="7">
        <v>1600</v>
      </c>
      <c r="G29" s="7" t="s">
        <v>29</v>
      </c>
      <c r="H29" s="7" t="s">
        <v>139</v>
      </c>
      <c r="I29" s="7" t="s">
        <v>140</v>
      </c>
      <c r="J29" s="7" t="s">
        <v>68</v>
      </c>
      <c r="K29" s="7" t="s">
        <v>30</v>
      </c>
      <c r="L29" s="7" t="s">
        <v>31</v>
      </c>
      <c r="M29" s="7" t="s">
        <v>32</v>
      </c>
      <c r="N29" s="7" t="s">
        <v>141</v>
      </c>
    </row>
    <row r="30" spans="1:15" x14ac:dyDescent="0.15">
      <c r="A30" s="7" t="s">
        <v>119</v>
      </c>
      <c r="B30" s="7" t="s">
        <v>35</v>
      </c>
      <c r="C30" s="7">
        <v>30.01</v>
      </c>
      <c r="D30" s="7">
        <v>1200</v>
      </c>
      <c r="E30" s="7">
        <v>30.01</v>
      </c>
      <c r="F30" s="7">
        <v>1200</v>
      </c>
      <c r="G30" s="7" t="s">
        <v>29</v>
      </c>
      <c r="H30" s="7" t="s">
        <v>142</v>
      </c>
      <c r="I30" s="7" t="s">
        <v>143</v>
      </c>
      <c r="J30" s="7" t="s">
        <v>122</v>
      </c>
      <c r="K30" s="7" t="s">
        <v>34</v>
      </c>
      <c r="L30" s="7" t="s">
        <v>31</v>
      </c>
      <c r="M30" s="7" t="s">
        <v>32</v>
      </c>
      <c r="N30" s="7" t="s">
        <v>144</v>
      </c>
      <c r="O30">
        <f>+E30*F30/36</f>
        <v>1000.3333333333334</v>
      </c>
    </row>
    <row r="31" spans="1:15" x14ac:dyDescent="0.15">
      <c r="A31" t="s">
        <v>50</v>
      </c>
      <c r="B31" t="s">
        <v>35</v>
      </c>
      <c r="C31">
        <v>40.94</v>
      </c>
      <c r="D31">
        <v>800</v>
      </c>
      <c r="E31">
        <v>40.936</v>
      </c>
      <c r="F31">
        <v>800</v>
      </c>
      <c r="G31" t="s">
        <v>29</v>
      </c>
      <c r="H31" t="s">
        <v>145</v>
      </c>
      <c r="I31" t="s">
        <v>146</v>
      </c>
      <c r="J31" t="s">
        <v>53</v>
      </c>
      <c r="K31" t="s">
        <v>34</v>
      </c>
      <c r="L31" t="s">
        <v>31</v>
      </c>
      <c r="M31" t="s">
        <v>32</v>
      </c>
      <c r="N31" t="s">
        <v>147</v>
      </c>
    </row>
    <row r="32" spans="1:15" x14ac:dyDescent="0.15">
      <c r="A32" t="s">
        <v>55</v>
      </c>
      <c r="B32" t="s">
        <v>35</v>
      </c>
      <c r="C32">
        <v>456.66</v>
      </c>
      <c r="D32">
        <v>200</v>
      </c>
      <c r="E32">
        <v>456.6</v>
      </c>
      <c r="F32">
        <v>200</v>
      </c>
      <c r="G32" t="s">
        <v>29</v>
      </c>
      <c r="H32" t="s">
        <v>148</v>
      </c>
      <c r="I32" t="s">
        <v>149</v>
      </c>
      <c r="J32" t="s">
        <v>58</v>
      </c>
      <c r="K32" t="s">
        <v>30</v>
      </c>
      <c r="L32" t="s">
        <v>31</v>
      </c>
      <c r="M32" t="s">
        <v>32</v>
      </c>
      <c r="N32" t="s">
        <v>150</v>
      </c>
    </row>
    <row r="33" spans="1:14" x14ac:dyDescent="0.15">
      <c r="A33" t="s">
        <v>39</v>
      </c>
      <c r="B33" t="s">
        <v>35</v>
      </c>
      <c r="C33">
        <v>31.49</v>
      </c>
      <c r="D33">
        <v>1200</v>
      </c>
      <c r="E33">
        <v>31.475999999999999</v>
      </c>
      <c r="F33">
        <v>1200</v>
      </c>
      <c r="G33" t="s">
        <v>29</v>
      </c>
      <c r="H33" t="s">
        <v>151</v>
      </c>
      <c r="I33" t="s">
        <v>152</v>
      </c>
      <c r="J33" t="s">
        <v>40</v>
      </c>
      <c r="K33" t="s">
        <v>30</v>
      </c>
      <c r="L33" t="s">
        <v>31</v>
      </c>
      <c r="M33" t="s">
        <v>32</v>
      </c>
      <c r="N33" t="s">
        <v>153</v>
      </c>
    </row>
    <row r="34" spans="1:14" x14ac:dyDescent="0.15">
      <c r="A34" t="s">
        <v>50</v>
      </c>
      <c r="B34" t="s">
        <v>35</v>
      </c>
      <c r="C34">
        <v>40.96</v>
      </c>
      <c r="D34">
        <v>1000</v>
      </c>
      <c r="E34">
        <v>40.96</v>
      </c>
      <c r="F34">
        <v>1000</v>
      </c>
      <c r="G34" t="s">
        <v>29</v>
      </c>
      <c r="H34" t="s">
        <v>154</v>
      </c>
      <c r="I34" t="s">
        <v>155</v>
      </c>
      <c r="J34" t="s">
        <v>53</v>
      </c>
      <c r="K34" t="s">
        <v>34</v>
      </c>
      <c r="L34" t="s">
        <v>31</v>
      </c>
      <c r="M34" t="s">
        <v>32</v>
      </c>
      <c r="N34" t="s">
        <v>156</v>
      </c>
    </row>
    <row r="35" spans="1:14" x14ac:dyDescent="0.15">
      <c r="A35" t="s">
        <v>55</v>
      </c>
      <c r="B35" t="s">
        <v>35</v>
      </c>
      <c r="C35">
        <v>456.64</v>
      </c>
      <c r="D35">
        <v>200</v>
      </c>
      <c r="E35">
        <v>456.64</v>
      </c>
      <c r="F35">
        <v>200</v>
      </c>
      <c r="G35" t="s">
        <v>29</v>
      </c>
      <c r="H35" t="s">
        <v>157</v>
      </c>
      <c r="I35" t="s">
        <v>158</v>
      </c>
      <c r="J35" t="s">
        <v>58</v>
      </c>
      <c r="K35" t="s">
        <v>30</v>
      </c>
      <c r="L35" t="s">
        <v>31</v>
      </c>
      <c r="M35" t="s">
        <v>32</v>
      </c>
      <c r="N35" t="s">
        <v>159</v>
      </c>
    </row>
    <row r="36" spans="1:14" x14ac:dyDescent="0.15">
      <c r="A36" t="s">
        <v>50</v>
      </c>
      <c r="B36" t="s">
        <v>35</v>
      </c>
      <c r="C36">
        <v>40.89</v>
      </c>
      <c r="D36">
        <v>400</v>
      </c>
      <c r="E36">
        <v>40.89</v>
      </c>
      <c r="F36">
        <v>400</v>
      </c>
      <c r="G36" t="s">
        <v>29</v>
      </c>
      <c r="H36" t="s">
        <v>160</v>
      </c>
      <c r="I36" t="s">
        <v>161</v>
      </c>
      <c r="J36" t="s">
        <v>53</v>
      </c>
      <c r="K36" t="s">
        <v>34</v>
      </c>
      <c r="L36" t="s">
        <v>31</v>
      </c>
      <c r="M36" t="s">
        <v>32</v>
      </c>
      <c r="N36" t="s">
        <v>162</v>
      </c>
    </row>
    <row r="37" spans="1:14" x14ac:dyDescent="0.15">
      <c r="A37" t="s">
        <v>39</v>
      </c>
      <c r="B37" t="s">
        <v>35</v>
      </c>
      <c r="C37">
        <v>31.52</v>
      </c>
      <c r="D37">
        <v>600</v>
      </c>
      <c r="E37">
        <v>31.52</v>
      </c>
      <c r="F37">
        <v>600</v>
      </c>
      <c r="G37" t="s">
        <v>29</v>
      </c>
      <c r="H37" t="s">
        <v>163</v>
      </c>
      <c r="I37" t="s">
        <v>164</v>
      </c>
      <c r="J37" t="s">
        <v>40</v>
      </c>
      <c r="K37" t="s">
        <v>30</v>
      </c>
      <c r="L37" t="s">
        <v>31</v>
      </c>
      <c r="M37" t="s">
        <v>32</v>
      </c>
      <c r="N37" t="s">
        <v>165</v>
      </c>
    </row>
    <row r="38" spans="1:14" x14ac:dyDescent="0.15">
      <c r="A38" t="s">
        <v>39</v>
      </c>
      <c r="B38" t="s">
        <v>35</v>
      </c>
      <c r="C38">
        <v>31.48</v>
      </c>
      <c r="D38">
        <v>1200</v>
      </c>
      <c r="E38">
        <v>31.48</v>
      </c>
      <c r="F38">
        <v>1200</v>
      </c>
      <c r="G38" t="s">
        <v>29</v>
      </c>
      <c r="H38" t="s">
        <v>166</v>
      </c>
      <c r="I38" t="s">
        <v>167</v>
      </c>
      <c r="J38" t="s">
        <v>40</v>
      </c>
      <c r="K38" t="s">
        <v>30</v>
      </c>
      <c r="L38" t="s">
        <v>31</v>
      </c>
      <c r="M38" t="s">
        <v>32</v>
      </c>
      <c r="N38" t="s">
        <v>168</v>
      </c>
    </row>
    <row r="39" spans="1:14" x14ac:dyDescent="0.15">
      <c r="A39" t="s">
        <v>50</v>
      </c>
      <c r="B39" t="s">
        <v>35</v>
      </c>
      <c r="C39">
        <v>40.9</v>
      </c>
      <c r="D39">
        <v>800</v>
      </c>
      <c r="E39">
        <v>40.9</v>
      </c>
      <c r="F39">
        <v>800</v>
      </c>
      <c r="G39" t="s">
        <v>29</v>
      </c>
      <c r="H39" t="s">
        <v>169</v>
      </c>
      <c r="I39" t="s">
        <v>170</v>
      </c>
      <c r="J39" t="s">
        <v>53</v>
      </c>
      <c r="K39" t="s">
        <v>34</v>
      </c>
      <c r="L39" t="s">
        <v>31</v>
      </c>
      <c r="M39" t="s">
        <v>32</v>
      </c>
      <c r="N39" t="s">
        <v>171</v>
      </c>
    </row>
    <row r="40" spans="1:14" x14ac:dyDescent="0.15">
      <c r="A40" t="s">
        <v>172</v>
      </c>
      <c r="B40" t="s">
        <v>35</v>
      </c>
      <c r="C40">
        <v>15.3</v>
      </c>
      <c r="D40">
        <v>2600</v>
      </c>
      <c r="E40">
        <v>15.3</v>
      </c>
      <c r="F40">
        <v>2600</v>
      </c>
      <c r="G40" t="s">
        <v>29</v>
      </c>
      <c r="H40" t="s">
        <v>173</v>
      </c>
      <c r="I40" t="s">
        <v>174</v>
      </c>
      <c r="J40" t="s">
        <v>175</v>
      </c>
      <c r="K40" t="s">
        <v>30</v>
      </c>
      <c r="L40" t="s">
        <v>31</v>
      </c>
      <c r="M40" t="s">
        <v>32</v>
      </c>
      <c r="N40" t="s">
        <v>176</v>
      </c>
    </row>
    <row r="41" spans="1:14" x14ac:dyDescent="0.15">
      <c r="A41" t="s">
        <v>76</v>
      </c>
      <c r="B41" t="s">
        <v>33</v>
      </c>
      <c r="C41">
        <v>17.61</v>
      </c>
      <c r="D41">
        <v>4400</v>
      </c>
      <c r="E41">
        <v>17.61</v>
      </c>
      <c r="F41">
        <v>4400</v>
      </c>
      <c r="G41" t="s">
        <v>29</v>
      </c>
      <c r="H41" t="s">
        <v>177</v>
      </c>
      <c r="I41" t="s">
        <v>178</v>
      </c>
      <c r="J41" t="s">
        <v>36</v>
      </c>
      <c r="K41" t="s">
        <v>30</v>
      </c>
      <c r="L41" t="s">
        <v>31</v>
      </c>
      <c r="M41" t="s">
        <v>32</v>
      </c>
      <c r="N41" t="s">
        <v>179</v>
      </c>
    </row>
    <row r="42" spans="1:14" x14ac:dyDescent="0.15">
      <c r="A42" t="s">
        <v>172</v>
      </c>
      <c r="B42" t="s">
        <v>35</v>
      </c>
      <c r="C42">
        <v>15.3</v>
      </c>
      <c r="D42">
        <v>2600</v>
      </c>
      <c r="E42">
        <v>15.3</v>
      </c>
      <c r="F42">
        <v>2600</v>
      </c>
      <c r="G42" t="s">
        <v>29</v>
      </c>
      <c r="H42" t="s">
        <v>180</v>
      </c>
      <c r="I42" t="s">
        <v>181</v>
      </c>
      <c r="J42" t="s">
        <v>175</v>
      </c>
      <c r="K42" t="s">
        <v>30</v>
      </c>
      <c r="L42" t="s">
        <v>31</v>
      </c>
      <c r="M42" t="s">
        <v>32</v>
      </c>
      <c r="N42" t="s">
        <v>182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19" activePane="bottomRight" state="frozen"/>
      <selection pane="topRight" activeCell="B1" sqref="B1"/>
      <selection pane="bottomLeft" activeCell="A2" sqref="A2"/>
      <selection pane="bottomRight" activeCell="F39" sqref="F39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42929</v>
      </c>
      <c r="B2" s="5" t="str">
        <f>'20161118 当日委托查询'!H2</f>
        <v>14:58:55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601225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-4800</v>
      </c>
      <c r="L2" s="7">
        <v>1</v>
      </c>
      <c r="M2" s="7">
        <f>'20161118 当日委托查询'!E2</f>
        <v>8.01</v>
      </c>
    </row>
    <row r="3" spans="1:25" x14ac:dyDescent="0.15">
      <c r="A3" s="2">
        <f t="shared" ca="1" si="0"/>
        <v>42929</v>
      </c>
      <c r="B3" s="5" t="str">
        <f>'20161118 当日委托查询'!H3</f>
        <v>14:58:06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000651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-600</v>
      </c>
      <c r="L3" s="7">
        <v>1</v>
      </c>
      <c r="M3" s="7">
        <f>'20161118 当日委托查询'!E3</f>
        <v>41.01</v>
      </c>
    </row>
    <row r="4" spans="1:25" x14ac:dyDescent="0.15">
      <c r="A4" s="2">
        <f t="shared" ca="1" si="0"/>
        <v>42929</v>
      </c>
      <c r="B4" s="5" t="str">
        <f>'20161118 当日委托查询'!H4</f>
        <v>14:57:48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600519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-100</v>
      </c>
      <c r="L4" s="7">
        <v>1</v>
      </c>
      <c r="M4" s="7">
        <f>'20161118 当日委托查询'!E4</f>
        <v>456.3</v>
      </c>
    </row>
    <row r="5" spans="1:25" x14ac:dyDescent="0.15">
      <c r="A5" s="2">
        <f t="shared" ca="1" si="0"/>
        <v>42929</v>
      </c>
      <c r="B5" s="5" t="str">
        <f>'20161118 当日委托查询'!H5</f>
        <v>14:17:48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600958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-6500</v>
      </c>
      <c r="L5" s="7">
        <v>1</v>
      </c>
      <c r="M5" s="7">
        <f>'20161118 当日委托查询'!E5</f>
        <v>14.64</v>
      </c>
    </row>
    <row r="6" spans="1:25" x14ac:dyDescent="0.15">
      <c r="A6" s="2">
        <f t="shared" ca="1" si="0"/>
        <v>42929</v>
      </c>
      <c r="B6" s="5" t="str">
        <f>'20161118 当日委托查询'!H6</f>
        <v>14:16:22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600036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-4000</v>
      </c>
      <c r="L6" s="7">
        <v>1</v>
      </c>
      <c r="M6" s="7">
        <f>'20161118 当日委托查询'!E6</f>
        <v>24.78</v>
      </c>
    </row>
    <row r="7" spans="1:25" x14ac:dyDescent="0.15">
      <c r="A7" s="2">
        <f t="shared" ca="1" si="0"/>
        <v>42929</v>
      </c>
      <c r="B7" s="5" t="str">
        <f>'20161118 当日委托查询'!H7</f>
        <v>14:15:29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600260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-2800</v>
      </c>
      <c r="L7" s="7">
        <v>1</v>
      </c>
      <c r="M7" s="7">
        <f>'20161118 当日委托查询'!E7</f>
        <v>27.26</v>
      </c>
    </row>
    <row r="8" spans="1:25" x14ac:dyDescent="0.15">
      <c r="A8" s="2">
        <f t="shared" ca="1" si="0"/>
        <v>42929</v>
      </c>
      <c r="B8" s="5" t="str">
        <f>'20161118 当日委托查询'!H8</f>
        <v>14:14:32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601238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-2500</v>
      </c>
      <c r="L8" s="7">
        <v>1</v>
      </c>
      <c r="M8" s="7">
        <f>'20161118 当日委托查询'!E8</f>
        <v>26.18</v>
      </c>
    </row>
    <row r="9" spans="1:25" x14ac:dyDescent="0.15">
      <c r="A9" s="2">
        <f t="shared" ca="1" si="0"/>
        <v>42929</v>
      </c>
      <c r="B9" s="5" t="str">
        <f>'20161118 当日委托查询'!H9</f>
        <v>14:11:23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600874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-4400</v>
      </c>
      <c r="L9" s="7">
        <v>1</v>
      </c>
      <c r="M9" s="7">
        <f>'20161118 当日委托查询'!E9</f>
        <v>17.579999999999998</v>
      </c>
    </row>
    <row r="10" spans="1:25" x14ac:dyDescent="0.15">
      <c r="A10" s="2">
        <f t="shared" ca="1" si="0"/>
        <v>42929</v>
      </c>
      <c r="B10" s="5" t="str">
        <f>'20161118 当日委托查询'!H10</f>
        <v>14:10:54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002050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-1800</v>
      </c>
      <c r="L10" s="7">
        <v>1</v>
      </c>
      <c r="M10" s="7">
        <f>'20161118 当日委托查询'!E10</f>
        <v>15.09</v>
      </c>
    </row>
    <row r="11" spans="1:25" x14ac:dyDescent="0.15">
      <c r="A11" s="2">
        <f t="shared" ca="1" si="0"/>
        <v>42929</v>
      </c>
      <c r="B11" s="5" t="str">
        <f>'20161118 当日委托查询'!H11</f>
        <v>14:10:03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002050</v>
      </c>
      <c r="I11" s="7" t="str">
        <f>IF('20161118 当日委托查询'!B11="卖出","S","B")</f>
        <v>S</v>
      </c>
      <c r="J11" s="7" t="s">
        <v>28</v>
      </c>
      <c r="K11" s="7">
        <f>IF(I11="S",-1*'20161118 当日委托查询'!F11,'20161118 当日委托查询'!F11)</f>
        <v>-1800</v>
      </c>
      <c r="L11" s="7">
        <v>1</v>
      </c>
      <c r="M11" s="7">
        <f>'20161118 当日委托查询'!E11</f>
        <v>15.07</v>
      </c>
    </row>
    <row r="12" spans="1:25" x14ac:dyDescent="0.15">
      <c r="A12" s="2">
        <f t="shared" ca="1" si="0"/>
        <v>42929</v>
      </c>
      <c r="B12" s="5" t="str">
        <f>'20161118 当日委托查询'!H12</f>
        <v>13:25:28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002050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1200</v>
      </c>
      <c r="L12" s="7">
        <v>1</v>
      </c>
      <c r="M12" s="7">
        <f>'20161118 当日委托查询'!E12</f>
        <v>15.87</v>
      </c>
    </row>
    <row r="13" spans="1:25" x14ac:dyDescent="0.15">
      <c r="A13" s="2">
        <f t="shared" ca="1" si="0"/>
        <v>42929</v>
      </c>
      <c r="B13" s="5" t="str">
        <f>'20161118 当日委托查询'!H13</f>
        <v>13:23:07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600519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100</v>
      </c>
      <c r="L13" s="7">
        <v>1</v>
      </c>
      <c r="M13" s="7">
        <f>'20161118 当日委托查询'!E13</f>
        <v>456.07</v>
      </c>
    </row>
    <row r="14" spans="1:25" x14ac:dyDescent="0.15">
      <c r="A14" s="2">
        <f t="shared" ca="1" si="0"/>
        <v>42929</v>
      </c>
      <c r="B14" s="5" t="str">
        <f>'20161118 当日委托查询'!H14</f>
        <v>13:21:31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002050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1200</v>
      </c>
      <c r="L14" s="7">
        <v>1</v>
      </c>
      <c r="M14" s="7">
        <f>'20161118 当日委托查询'!E14</f>
        <v>15.97</v>
      </c>
    </row>
    <row r="15" spans="1:25" x14ac:dyDescent="0.15">
      <c r="A15" s="2">
        <f t="shared" ca="1" si="0"/>
        <v>42929</v>
      </c>
      <c r="B15" s="5" t="str">
        <f>'20161118 当日委托查询'!H15</f>
        <v>13:20:19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002050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1200</v>
      </c>
      <c r="L15" s="7">
        <v>1</v>
      </c>
      <c r="M15" s="7">
        <f>'20161118 当日委托查询'!E15</f>
        <v>16.010000000000002</v>
      </c>
    </row>
    <row r="16" spans="1:25" x14ac:dyDescent="0.15">
      <c r="A16" s="2">
        <f t="shared" ca="1" si="0"/>
        <v>42929</v>
      </c>
      <c r="B16" s="5" t="str">
        <f>'20161118 当日委托查询'!H16</f>
        <v>13:20:10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002050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1200</v>
      </c>
      <c r="L16" s="7">
        <v>1</v>
      </c>
      <c r="M16" s="7">
        <f>'20161118 当日委托查询'!E16</f>
        <v>16.010000000000002</v>
      </c>
    </row>
    <row r="17" spans="1:13" x14ac:dyDescent="0.15">
      <c r="A17" s="2">
        <f t="shared" ca="1" si="0"/>
        <v>42929</v>
      </c>
      <c r="B17" s="5" t="str">
        <f>'20161118 当日委托查询'!H17</f>
        <v>10:29:22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000651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400</v>
      </c>
      <c r="L17" s="7">
        <v>1</v>
      </c>
      <c r="M17" s="7">
        <f>'20161118 当日委托查询'!E17</f>
        <v>40.64</v>
      </c>
    </row>
    <row r="18" spans="1:13" x14ac:dyDescent="0.15">
      <c r="A18" s="2">
        <f t="shared" ca="1" si="0"/>
        <v>42929</v>
      </c>
      <c r="B18" s="5" t="str">
        <f>'20161118 当日委托查询'!H18</f>
        <v>10:29:10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601238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1400</v>
      </c>
      <c r="L18" s="7">
        <v>1</v>
      </c>
      <c r="M18" s="7">
        <f>'20161118 当日委托查询'!E18</f>
        <v>26.01</v>
      </c>
    </row>
    <row r="19" spans="1:13" x14ac:dyDescent="0.15">
      <c r="A19" s="2">
        <f t="shared" ca="1" si="0"/>
        <v>42929</v>
      </c>
      <c r="B19" s="5" t="str">
        <f>'20161118 当日委托查询'!H19</f>
        <v>10:27:46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601225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2500</v>
      </c>
      <c r="L19" s="7">
        <v>1</v>
      </c>
      <c r="M19" s="7">
        <f>'20161118 当日委托查询'!E19</f>
        <v>7.99</v>
      </c>
    </row>
    <row r="20" spans="1:13" x14ac:dyDescent="0.15">
      <c r="A20" s="2">
        <f t="shared" ca="1" si="0"/>
        <v>42929</v>
      </c>
      <c r="B20" s="5" t="str">
        <f>'20161118 当日委托查询'!H20</f>
        <v>10:27:37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000651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400</v>
      </c>
      <c r="L20" s="7">
        <v>1</v>
      </c>
      <c r="M20" s="7">
        <f>'20161118 当日委托查询'!E20</f>
        <v>40.61</v>
      </c>
    </row>
    <row r="21" spans="1:13" x14ac:dyDescent="0.15">
      <c r="A21" s="2">
        <f t="shared" ca="1" si="0"/>
        <v>42929</v>
      </c>
      <c r="B21" s="5" t="str">
        <f>'20161118 当日委托查询'!H21</f>
        <v>10:27:20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600036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800</v>
      </c>
      <c r="L21" s="7">
        <v>1</v>
      </c>
      <c r="M21" s="7">
        <f>'20161118 当日委托查询'!E21</f>
        <v>24.74</v>
      </c>
    </row>
    <row r="22" spans="1:13" x14ac:dyDescent="0.15">
      <c r="A22" s="2">
        <f t="shared" ca="1" si="0"/>
        <v>42929</v>
      </c>
      <c r="B22" s="5" t="str">
        <f>'20161118 当日委托查询'!H22</f>
        <v>10:27:10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600958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1300</v>
      </c>
      <c r="L22" s="7">
        <v>1</v>
      </c>
      <c r="M22" s="7">
        <f>'20161118 当日委托查询'!E22</f>
        <v>14.52</v>
      </c>
    </row>
    <row r="23" spans="1:13" x14ac:dyDescent="0.15">
      <c r="A23" s="2">
        <f t="shared" ca="1" si="0"/>
        <v>42929</v>
      </c>
      <c r="B23" s="5" t="str">
        <f>'20161118 当日委托查询'!H23</f>
        <v>10:26:08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002415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600</v>
      </c>
      <c r="L23" s="7">
        <v>1</v>
      </c>
      <c r="M23" s="7">
        <f>'20161118 当日委托查询'!E23</f>
        <v>29.86</v>
      </c>
    </row>
    <row r="24" spans="1:13" x14ac:dyDescent="0.15">
      <c r="A24" s="2">
        <f t="shared" ca="1" si="0"/>
        <v>42929</v>
      </c>
      <c r="B24" s="5" t="str">
        <f>'20161118 当日委托查询'!H24</f>
        <v>10:25:55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000651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400</v>
      </c>
      <c r="L24" s="7">
        <v>1</v>
      </c>
      <c r="M24" s="7">
        <f>'20161118 当日委托查询'!E24</f>
        <v>40.6</v>
      </c>
    </row>
    <row r="25" spans="1:13" x14ac:dyDescent="0.15">
      <c r="A25" s="2">
        <f t="shared" ca="1" si="0"/>
        <v>42929</v>
      </c>
      <c r="B25" s="5" t="str">
        <f>'20161118 当日委托查询'!H25</f>
        <v>10:25:40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600519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100</v>
      </c>
      <c r="L25" s="7">
        <v>1</v>
      </c>
      <c r="M25" s="7">
        <f>'20161118 当日委托查询'!E25</f>
        <v>455.13</v>
      </c>
    </row>
    <row r="26" spans="1:13" x14ac:dyDescent="0.15">
      <c r="A26" s="2">
        <f t="shared" ca="1" si="0"/>
        <v>42929</v>
      </c>
      <c r="B26" s="5" t="str">
        <f>'20161118 当日委托查询'!H26</f>
        <v>10:25:26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601225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2500</v>
      </c>
      <c r="L26" s="7">
        <v>1</v>
      </c>
      <c r="M26" s="7">
        <f>'20161118 当日委托查询'!E26</f>
        <v>8</v>
      </c>
    </row>
    <row r="27" spans="1:13" x14ac:dyDescent="0.15">
      <c r="A27" s="2">
        <f t="shared" ca="1" si="0"/>
        <v>42929</v>
      </c>
      <c r="B27" s="5" t="str">
        <f>'20161118 当日委托查询'!H27</f>
        <v>10:21:03</v>
      </c>
      <c r="C27" s="7" t="s">
        <v>25</v>
      </c>
      <c r="D27" s="7" t="s">
        <v>26</v>
      </c>
      <c r="E27" s="7" t="s">
        <v>27</v>
      </c>
      <c r="F27" s="7"/>
      <c r="G27" s="7"/>
      <c r="H27" s="7" t="str">
        <f>'20161118 当日委托查询'!J27</f>
        <v>600958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2600</v>
      </c>
      <c r="L27" s="7">
        <v>1</v>
      </c>
      <c r="M27" s="7">
        <f>'20161118 当日委托查询'!E27</f>
        <v>14.569000000000001</v>
      </c>
    </row>
    <row r="28" spans="1:13" x14ac:dyDescent="0.15">
      <c r="A28" s="2">
        <f t="shared" ca="1" si="0"/>
        <v>42929</v>
      </c>
      <c r="B28" s="5" t="str">
        <f>'20161118 当日委托查询'!H28</f>
        <v>10:20:46</v>
      </c>
      <c r="C28" s="7" t="s">
        <v>25</v>
      </c>
      <c r="D28" s="7" t="s">
        <v>26</v>
      </c>
      <c r="E28" s="7" t="s">
        <v>27</v>
      </c>
      <c r="F28" s="7"/>
      <c r="G28" s="7"/>
      <c r="H28" s="7" t="str">
        <f>'20161118 当日委托查询'!J28</f>
        <v>601225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4800</v>
      </c>
      <c r="L28" s="7">
        <v>1</v>
      </c>
      <c r="M28" s="7">
        <f>'20161118 当日委托查询'!E28</f>
        <v>8.0500000000000007</v>
      </c>
    </row>
    <row r="29" spans="1:13" x14ac:dyDescent="0.15">
      <c r="A29" s="2">
        <f t="shared" ca="1" si="0"/>
        <v>42929</v>
      </c>
      <c r="B29" s="5" t="str">
        <f>'20161118 当日委托查询'!H29</f>
        <v>10:20:00</v>
      </c>
      <c r="C29" s="7" t="s">
        <v>25</v>
      </c>
      <c r="D29" s="7" t="s">
        <v>26</v>
      </c>
      <c r="E29" s="7" t="s">
        <v>27</v>
      </c>
      <c r="F29" s="7"/>
      <c r="G29" s="7"/>
      <c r="H29" s="7" t="str">
        <f>'20161118 当日委托查询'!J29</f>
        <v>600036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1600</v>
      </c>
      <c r="L29" s="7">
        <v>1</v>
      </c>
      <c r="M29" s="7">
        <f>'20161118 当日委托查询'!E29</f>
        <v>24.96</v>
      </c>
    </row>
    <row r="30" spans="1:13" x14ac:dyDescent="0.15">
      <c r="A30" s="2">
        <f t="shared" ca="1" si="0"/>
        <v>42929</v>
      </c>
      <c r="B30" s="5" t="str">
        <f>'20161118 当日委托查询'!H30</f>
        <v>10:19:40</v>
      </c>
      <c r="C30" s="7" t="s">
        <v>25</v>
      </c>
      <c r="D30" s="7" t="s">
        <v>26</v>
      </c>
      <c r="E30" s="7" t="s">
        <v>27</v>
      </c>
      <c r="F30" s="7"/>
      <c r="G30" s="7"/>
      <c r="H30" s="7" t="str">
        <f>'20161118 当日委托查询'!J30</f>
        <v>002415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1200</v>
      </c>
      <c r="L30" s="7">
        <v>1</v>
      </c>
      <c r="M30" s="7">
        <f>'20161118 当日委托查询'!E30</f>
        <v>30.01</v>
      </c>
    </row>
    <row r="31" spans="1:13" x14ac:dyDescent="0.15">
      <c r="A31" s="2">
        <f t="shared" ca="1" si="0"/>
        <v>42929</v>
      </c>
      <c r="B31" s="5" t="str">
        <f>'20161118 当日委托查询'!H31</f>
        <v>10:18:23</v>
      </c>
      <c r="C31" s="7" t="s">
        <v>25</v>
      </c>
      <c r="D31" s="7" t="s">
        <v>26</v>
      </c>
      <c r="E31" s="7" t="s">
        <v>27</v>
      </c>
      <c r="F31" s="7"/>
      <c r="G31" s="7"/>
      <c r="H31" s="7" t="str">
        <f>'20161118 当日委托查询'!J31</f>
        <v>000651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800</v>
      </c>
      <c r="L31" s="7">
        <v>1</v>
      </c>
      <c r="M31" s="7">
        <f>'20161118 当日委托查询'!E31</f>
        <v>40.936</v>
      </c>
    </row>
    <row r="32" spans="1:13" x14ac:dyDescent="0.15">
      <c r="A32" s="2">
        <f t="shared" ca="1" si="0"/>
        <v>42929</v>
      </c>
      <c r="B32" s="5" t="str">
        <f>'20161118 当日委托查询'!H32</f>
        <v>10:18:07</v>
      </c>
      <c r="C32" s="7" t="s">
        <v>25</v>
      </c>
      <c r="D32" s="7" t="s">
        <v>26</v>
      </c>
      <c r="E32" s="7" t="s">
        <v>27</v>
      </c>
      <c r="F32" s="7"/>
      <c r="G32" s="7"/>
      <c r="H32" s="7" t="str">
        <f>'20161118 当日委托查询'!J32</f>
        <v>600519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200</v>
      </c>
      <c r="L32" s="7">
        <v>1</v>
      </c>
      <c r="M32" s="7">
        <f>'20161118 当日委托查询'!E32</f>
        <v>456.6</v>
      </c>
    </row>
    <row r="33" spans="1:13" x14ac:dyDescent="0.15">
      <c r="A33" s="2">
        <f t="shared" ca="1" si="0"/>
        <v>42929</v>
      </c>
      <c r="B33" s="5" t="str">
        <f>'20161118 当日委托查询'!H33</f>
        <v>10:17:01</v>
      </c>
      <c r="C33" s="7" t="s">
        <v>25</v>
      </c>
      <c r="D33" s="7" t="s">
        <v>26</v>
      </c>
      <c r="E33" s="7" t="s">
        <v>27</v>
      </c>
      <c r="F33" s="7"/>
      <c r="G33" s="7"/>
      <c r="H33" s="7" t="str">
        <f>'20161118 当日委托查询'!J33</f>
        <v>600104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1200</v>
      </c>
      <c r="L33" s="7">
        <v>1</v>
      </c>
      <c r="M33" s="7">
        <f>'20161118 当日委托查询'!E33</f>
        <v>31.475999999999999</v>
      </c>
    </row>
    <row r="34" spans="1:13" x14ac:dyDescent="0.15">
      <c r="A34" s="2">
        <f t="shared" ca="1" si="0"/>
        <v>42929</v>
      </c>
      <c r="B34" s="5" t="str">
        <f>'20161118 当日委托查询'!H34</f>
        <v>10:16:10</v>
      </c>
      <c r="C34" s="7" t="s">
        <v>25</v>
      </c>
      <c r="D34" s="7" t="s">
        <v>26</v>
      </c>
      <c r="E34" s="7" t="s">
        <v>27</v>
      </c>
      <c r="F34" s="7"/>
      <c r="G34" s="7"/>
      <c r="H34" s="7" t="str">
        <f>'20161118 当日委托查询'!J34</f>
        <v>000651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1000</v>
      </c>
      <c r="L34" s="7">
        <v>1</v>
      </c>
      <c r="M34" s="7">
        <f>'20161118 当日委托查询'!E34</f>
        <v>40.96</v>
      </c>
    </row>
    <row r="35" spans="1:13" x14ac:dyDescent="0.15">
      <c r="A35" s="2">
        <f t="shared" ca="1" si="0"/>
        <v>42929</v>
      </c>
      <c r="B35" s="5" t="str">
        <f>'20161118 当日委托查询'!H35</f>
        <v>10:14:34</v>
      </c>
      <c r="C35" s="7" t="s">
        <v>25</v>
      </c>
      <c r="D35" s="7" t="s">
        <v>26</v>
      </c>
      <c r="E35" s="7" t="s">
        <v>27</v>
      </c>
      <c r="F35" s="7"/>
      <c r="G35" s="7"/>
      <c r="H35" s="7" t="str">
        <f>'20161118 当日委托查询'!J35</f>
        <v>600519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200</v>
      </c>
      <c r="L35" s="7">
        <v>1</v>
      </c>
      <c r="M35" s="7">
        <f>'20161118 当日委托查询'!E35</f>
        <v>456.64</v>
      </c>
    </row>
    <row r="36" spans="1:13" x14ac:dyDescent="0.15">
      <c r="A36" s="2">
        <f t="shared" ca="1" si="0"/>
        <v>42929</v>
      </c>
      <c r="B36" s="5" t="str">
        <f>'20161118 当日委托查询'!H36</f>
        <v>10:14:23</v>
      </c>
      <c r="C36" s="7" t="s">
        <v>25</v>
      </c>
      <c r="D36" s="7" t="s">
        <v>26</v>
      </c>
      <c r="E36" s="7" t="s">
        <v>27</v>
      </c>
      <c r="F36" s="7"/>
      <c r="G36" s="7"/>
      <c r="H36" s="7" t="str">
        <f>'20161118 当日委托查询'!J36</f>
        <v>000651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400</v>
      </c>
      <c r="L36" s="7">
        <v>1</v>
      </c>
      <c r="M36" s="7">
        <f>'20161118 当日委托查询'!E36</f>
        <v>40.89</v>
      </c>
    </row>
    <row r="37" spans="1:13" x14ac:dyDescent="0.15">
      <c r="A37" s="2">
        <f t="shared" ca="1" si="0"/>
        <v>42929</v>
      </c>
      <c r="B37" s="5" t="str">
        <f>'20161118 当日委托查询'!H37</f>
        <v>10:13:48</v>
      </c>
      <c r="C37" s="7" t="s">
        <v>25</v>
      </c>
      <c r="D37" s="7" t="s">
        <v>26</v>
      </c>
      <c r="E37" s="7" t="s">
        <v>27</v>
      </c>
      <c r="F37" s="7"/>
      <c r="G37" s="7"/>
      <c r="H37" s="7" t="str">
        <f>'20161118 当日委托查询'!J37</f>
        <v>600104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600</v>
      </c>
      <c r="L37" s="7">
        <v>1</v>
      </c>
      <c r="M37" s="7">
        <f>'20161118 当日委托查询'!E37</f>
        <v>31.52</v>
      </c>
    </row>
    <row r="38" spans="1:13" x14ac:dyDescent="0.15">
      <c r="A38" s="2">
        <f t="shared" ca="1" si="0"/>
        <v>42929</v>
      </c>
      <c r="B38" s="5" t="str">
        <f>'20161118 当日委托查询'!H38</f>
        <v>10:10:26</v>
      </c>
      <c r="C38" s="7" t="s">
        <v>25</v>
      </c>
      <c r="D38" s="7" t="s">
        <v>26</v>
      </c>
      <c r="E38" s="7" t="s">
        <v>27</v>
      </c>
      <c r="F38" s="7"/>
      <c r="G38" s="7"/>
      <c r="H38" s="7" t="str">
        <f>'20161118 当日委托查询'!J38</f>
        <v>600104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1200</v>
      </c>
      <c r="L38" s="7">
        <v>1</v>
      </c>
      <c r="M38" s="7">
        <f>'20161118 当日委托查询'!E38</f>
        <v>31.48</v>
      </c>
    </row>
    <row r="39" spans="1:13" x14ac:dyDescent="0.15">
      <c r="A39" s="2">
        <f t="shared" ca="1" si="0"/>
        <v>42929</v>
      </c>
      <c r="B39" s="5" t="str">
        <f>'20161118 当日委托查询'!H39</f>
        <v>10:09:34</v>
      </c>
      <c r="C39" s="7" t="s">
        <v>25</v>
      </c>
      <c r="D39" s="7" t="s">
        <v>26</v>
      </c>
      <c r="E39" s="7" t="s">
        <v>27</v>
      </c>
      <c r="F39" s="7"/>
      <c r="G39" s="7"/>
      <c r="H39" s="7" t="str">
        <f>'20161118 当日委托查询'!J39</f>
        <v>000651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800</v>
      </c>
      <c r="L39" s="7">
        <v>1</v>
      </c>
      <c r="M39" s="7">
        <f>'20161118 当日委托查询'!E39</f>
        <v>40.9</v>
      </c>
    </row>
    <row r="40" spans="1:13" x14ac:dyDescent="0.15">
      <c r="A40" s="2">
        <f t="shared" ca="1" si="0"/>
        <v>42929</v>
      </c>
      <c r="B40" s="5" t="str">
        <f>'20161118 当日委托查询'!H40</f>
        <v>10:06:10</v>
      </c>
      <c r="C40" s="7" t="s">
        <v>25</v>
      </c>
      <c r="D40" s="7" t="s">
        <v>26</v>
      </c>
      <c r="E40" s="7" t="s">
        <v>27</v>
      </c>
      <c r="F40" s="7"/>
      <c r="G40" s="7"/>
      <c r="H40" s="7" t="str">
        <f>'20161118 当日委托查询'!J40</f>
        <v>600900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2600</v>
      </c>
      <c r="L40" s="7">
        <v>1</v>
      </c>
      <c r="M40" s="7">
        <f>'20161118 当日委托查询'!E40</f>
        <v>15.3</v>
      </c>
    </row>
    <row r="41" spans="1:13" x14ac:dyDescent="0.15">
      <c r="A41" s="2">
        <f t="shared" ca="1" si="0"/>
        <v>42929</v>
      </c>
      <c r="B41" s="5" t="str">
        <f>'20161118 当日委托查询'!H41</f>
        <v>10:02:48</v>
      </c>
      <c r="C41" s="7" t="s">
        <v>25</v>
      </c>
      <c r="D41" s="7" t="s">
        <v>26</v>
      </c>
      <c r="E41" s="7" t="s">
        <v>27</v>
      </c>
      <c r="F41" s="7"/>
      <c r="G41" s="7"/>
      <c r="H41" s="7" t="str">
        <f>'20161118 当日委托查询'!J41</f>
        <v>600874</v>
      </c>
      <c r="I41" s="7" t="str">
        <f>IF('20161118 当日委托查询'!B41="卖出","S","B")</f>
        <v>S</v>
      </c>
      <c r="J41" s="7" t="s">
        <v>28</v>
      </c>
      <c r="K41" s="7">
        <f>IF(I41="S",-1*'20161118 当日委托查询'!F41,'20161118 当日委托查询'!F41)</f>
        <v>-4400</v>
      </c>
      <c r="L41" s="7">
        <v>1</v>
      </c>
      <c r="M41" s="7">
        <f>'20161118 当日委托查询'!E41</f>
        <v>17.61</v>
      </c>
    </row>
    <row r="42" spans="1:13" x14ac:dyDescent="0.15">
      <c r="A42" s="2">
        <f t="shared" ca="1" si="0"/>
        <v>42929</v>
      </c>
      <c r="B42" s="5" t="str">
        <f>'20161118 当日委托查询'!H42</f>
        <v>09:52:37</v>
      </c>
      <c r="C42" s="7" t="s">
        <v>25</v>
      </c>
      <c r="D42" s="7" t="s">
        <v>26</v>
      </c>
      <c r="E42" s="7" t="s">
        <v>27</v>
      </c>
      <c r="F42" s="7"/>
      <c r="G42" s="7"/>
      <c r="H42" s="7" t="str">
        <f>'20161118 当日委托查询'!J42</f>
        <v>600900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2600</v>
      </c>
      <c r="L42" s="7">
        <v>1</v>
      </c>
      <c r="M42" s="7">
        <f>'20161118 当日委托查询'!E42</f>
        <v>15.3</v>
      </c>
    </row>
    <row r="43" spans="1:13" x14ac:dyDescent="0.15">
      <c r="A43" s="2">
        <f t="shared" ca="1" si="0"/>
        <v>42929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2017-07-13T08:13:46Z</dcterms:modified>
</cp:coreProperties>
</file>