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<sst xmlns="http://schemas.openxmlformats.org/spreadsheetml/2006/main" count="1039" uniqueCount="275">
  <si>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</si>
  <si>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</si>
  <si>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</si>
  <si>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</si>
  <si>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</si>
  <si>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</si>
  <si>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</si>
  <si>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</si>
  <si>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</si>
  <si>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</si>
  <si>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</si>
  <si>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</si>
  <si>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</si>
  <si>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</si>
  <si>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</si>
  <si>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</si>
  <si>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</si>
  <si>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</si>
  <si>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</si>
  <si>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</si>
  <si>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</si>
  <si>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</si>
  <si>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</si>
  <si>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</si>
  <si>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</si>
  <si>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</si>
  <si>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</si>
  <si>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</si>
  <si>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</si>
  <si>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</si>
  <si>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</si>
  <si>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</si>
  <si>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</si>
  <si>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</si>
  <si>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</si>
  <si>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买入</t>
  </si>
  <si>
    <t>招商银行</t>
  </si>
  <si>
    <t>600036</t>
  </si>
  <si>
    <t>创业环保</t>
  </si>
  <si>
    <t>600874</t>
  </si>
  <si>
    <t>凯乐科技</t>
  </si>
  <si>
    <t>600260</t>
  </si>
  <si>
    <t>赣锋锂业</t>
  </si>
  <si>
    <t>002460</t>
  </si>
  <si>
    <t>方大炭素</t>
  </si>
  <si>
    <t>600516</t>
  </si>
  <si>
    <t>上汽集团</t>
  </si>
  <si>
    <t>600104</t>
  </si>
  <si>
    <t>陕西煤业</t>
  </si>
  <si>
    <t>601225</t>
  </si>
  <si>
    <t>格力电器</t>
  </si>
  <si>
    <t>14:56:46</t>
  </si>
  <si>
    <t>982</t>
  </si>
  <si>
    <t>000651</t>
  </si>
  <si>
    <t>0000560</t>
  </si>
  <si>
    <t>14:56:32</t>
  </si>
  <si>
    <t>979</t>
  </si>
  <si>
    <t>0008822</t>
  </si>
  <si>
    <t>广汽集团</t>
  </si>
  <si>
    <t>14:56:05</t>
  </si>
  <si>
    <t>974</t>
  </si>
  <si>
    <t>601238</t>
  </si>
  <si>
    <t>0008809</t>
  </si>
  <si>
    <t>14:55:56</t>
  </si>
  <si>
    <t>972</t>
  </si>
  <si>
    <t>0008802</t>
  </si>
  <si>
    <t>大族激光</t>
  </si>
  <si>
    <t>14:55:48</t>
  </si>
  <si>
    <t>967</t>
  </si>
  <si>
    <t>002008</t>
  </si>
  <si>
    <t>000054U</t>
  </si>
  <si>
    <t>海康威视</t>
  </si>
  <si>
    <t>14:55:32</t>
  </si>
  <si>
    <t>961</t>
  </si>
  <si>
    <t>002415</t>
  </si>
  <si>
    <t>0000549</t>
  </si>
  <si>
    <t>14:55:05</t>
  </si>
  <si>
    <t>956</t>
  </si>
  <si>
    <t>0008778</t>
  </si>
  <si>
    <t>14:54:47</t>
  </si>
  <si>
    <t>953</t>
  </si>
  <si>
    <t>000053A</t>
  </si>
  <si>
    <t>14:54:38</t>
  </si>
  <si>
    <t>951</t>
  </si>
  <si>
    <t>0008765</t>
  </si>
  <si>
    <t>14:54:16</t>
  </si>
  <si>
    <t>947</t>
  </si>
  <si>
    <t>0008756</t>
  </si>
  <si>
    <t>13:45:37</t>
  </si>
  <si>
    <t>944</t>
  </si>
  <si>
    <t>0007048</t>
  </si>
  <si>
    <t>13:45:23</t>
  </si>
  <si>
    <t>940</t>
  </si>
  <si>
    <t>0007042</t>
  </si>
  <si>
    <t>10:59:26</t>
  </si>
  <si>
    <t>935</t>
  </si>
  <si>
    <t>0004505</t>
  </si>
  <si>
    <t>10:58:49</t>
  </si>
  <si>
    <t>932</t>
  </si>
  <si>
    <t>0004496</t>
  </si>
  <si>
    <t>10:58:33</t>
  </si>
  <si>
    <t>929</t>
  </si>
  <si>
    <t>0004490</t>
  </si>
  <si>
    <t>10:58:11</t>
  </si>
  <si>
    <t>926</t>
  </si>
  <si>
    <t>0004476</t>
  </si>
  <si>
    <t>10:58:00</t>
  </si>
  <si>
    <t>922</t>
  </si>
  <si>
    <t>0004473</t>
  </si>
  <si>
    <t>10:57:42</t>
  </si>
  <si>
    <t>917</t>
  </si>
  <si>
    <t>0004466</t>
  </si>
  <si>
    <t>10:57:37</t>
  </si>
  <si>
    <t>913</t>
  </si>
  <si>
    <t>0004463</t>
  </si>
  <si>
    <t>10:57:19</t>
  </si>
  <si>
    <t>910</t>
  </si>
  <si>
    <t>0004454</t>
  </si>
  <si>
    <t>10:57:08</t>
  </si>
  <si>
    <t>907</t>
  </si>
  <si>
    <t>00002GE</t>
  </si>
  <si>
    <t>10:52:21</t>
  </si>
  <si>
    <t>903</t>
  </si>
  <si>
    <t>00002DW</t>
  </si>
  <si>
    <t>10:49:47</t>
  </si>
  <si>
    <t>900</t>
  </si>
  <si>
    <t>0004228</t>
  </si>
  <si>
    <t>10:49:24</t>
  </si>
  <si>
    <t>897</t>
  </si>
  <si>
    <t>0004215</t>
  </si>
  <si>
    <t>10:48:52</t>
  </si>
  <si>
    <t>894</t>
  </si>
  <si>
    <t>00002C4</t>
  </si>
  <si>
    <t>10:48:29</t>
  </si>
  <si>
    <t>886</t>
  </si>
  <si>
    <t>00002BX</t>
  </si>
  <si>
    <t>东方证券</t>
  </si>
  <si>
    <t>10:47:44</t>
  </si>
  <si>
    <t>881</t>
  </si>
  <si>
    <t>600958</t>
  </si>
  <si>
    <t>0004164</t>
  </si>
  <si>
    <t>10:47:27</t>
  </si>
  <si>
    <t>879</t>
  </si>
  <si>
    <t>0004157</t>
  </si>
  <si>
    <t>10:47:16</t>
  </si>
  <si>
    <t>877</t>
  </si>
  <si>
    <t>00002B4</t>
  </si>
  <si>
    <t>10:00:49</t>
  </si>
  <si>
    <t>874</t>
  </si>
  <si>
    <t>0002406</t>
  </si>
  <si>
    <t>10:00:34</t>
  </si>
  <si>
    <t>871</t>
  </si>
  <si>
    <t>0002392</t>
  </si>
  <si>
    <t>09:59:43</t>
  </si>
  <si>
    <t>868</t>
  </si>
  <si>
    <t>0002332</t>
  </si>
  <si>
    <t>三花智控</t>
  </si>
  <si>
    <t>09:59:29</t>
  </si>
  <si>
    <t>865</t>
  </si>
  <si>
    <t>002050</t>
  </si>
  <si>
    <t>00001FQ</t>
  </si>
  <si>
    <t>09:59:17</t>
  </si>
  <si>
    <t>861</t>
  </si>
  <si>
    <t>0002306</t>
  </si>
  <si>
    <t>09:59:03</t>
  </si>
  <si>
    <t>858</t>
  </si>
  <si>
    <t>0002295</t>
  </si>
  <si>
    <t>09:58:51</t>
  </si>
  <si>
    <t>854</t>
  </si>
  <si>
    <t>0002289</t>
  </si>
  <si>
    <t>09:57:33</t>
  </si>
  <si>
    <t>851</t>
  </si>
  <si>
    <t>0002219</t>
  </si>
  <si>
    <t>09:57:24</t>
  </si>
  <si>
    <t>848</t>
  </si>
  <si>
    <t>0002210</t>
  </si>
  <si>
    <t>09:57:12</t>
  </si>
  <si>
    <t>843</t>
  </si>
  <si>
    <t>00001D5</t>
  </si>
  <si>
    <t>09:56:11</t>
  </si>
  <si>
    <t>839</t>
  </si>
  <si>
    <t>0002139</t>
  </si>
  <si>
    <t>09:55:56</t>
  </si>
  <si>
    <t>835</t>
  </si>
  <si>
    <t>00001BI</t>
  </si>
  <si>
    <t>09:55:47</t>
  </si>
  <si>
    <t>829</t>
  </si>
  <si>
    <t>0002122</t>
  </si>
  <si>
    <t>09:55:36</t>
  </si>
  <si>
    <t>824</t>
  </si>
  <si>
    <t>0002109</t>
  </si>
  <si>
    <t>09:55:22</t>
  </si>
  <si>
    <t>822</t>
  </si>
  <si>
    <t>00001AV</t>
  </si>
  <si>
    <t>09:54:32</t>
  </si>
  <si>
    <t>817</t>
  </si>
  <si>
    <t>000019R</t>
  </si>
  <si>
    <t>09:54:21</t>
  </si>
  <si>
    <t>814</t>
  </si>
  <si>
    <t>000019J</t>
  </si>
  <si>
    <t>09:54:04</t>
  </si>
  <si>
    <t>811</t>
  </si>
  <si>
    <t>0002022</t>
  </si>
  <si>
    <t>09:51:45</t>
  </si>
  <si>
    <t>807</t>
  </si>
  <si>
    <t>000016H</t>
  </si>
  <si>
    <t>09:51:36</t>
  </si>
  <si>
    <t>804</t>
  </si>
  <si>
    <t>0001892</t>
  </si>
  <si>
    <t>09:51:24</t>
  </si>
  <si>
    <t>801</t>
  </si>
  <si>
    <t>0000164</t>
  </si>
  <si>
    <t>09:50:51</t>
  </si>
  <si>
    <t>798</t>
  </si>
  <si>
    <t>0001858</t>
  </si>
  <si>
    <t>09:50:29</t>
  </si>
  <si>
    <t>795</t>
  </si>
  <si>
    <t>0001838</t>
  </si>
  <si>
    <t>09:50:09</t>
  </si>
  <si>
    <t>791</t>
  </si>
  <si>
    <t>0001823</t>
  </si>
  <si>
    <t>09:48:49</t>
  </si>
  <si>
    <t>785</t>
  </si>
  <si>
    <t>0001724</t>
  </si>
  <si>
    <t>09:48:27</t>
  </si>
  <si>
    <t>780</t>
  </si>
  <si>
    <t>0001703</t>
  </si>
  <si>
    <t>09:48:14</t>
  </si>
  <si>
    <t>778</t>
  </si>
  <si>
    <t>0001688</t>
  </si>
  <si>
    <t>09:48:02</t>
  </si>
  <si>
    <t>776</t>
  </si>
  <si>
    <t>000011O</t>
  </si>
  <si>
    <t>09:47:42</t>
  </si>
  <si>
    <t>773</t>
  </si>
  <si>
    <t>0000119</t>
  </si>
  <si>
    <t>09:47:08</t>
  </si>
  <si>
    <t>769</t>
  </si>
  <si>
    <t>0001625</t>
  </si>
  <si>
    <t>09:46:54</t>
  </si>
  <si>
    <t>766</t>
  </si>
  <si>
    <t>0001607</t>
  </si>
  <si>
    <t>09:46:33</t>
  </si>
  <si>
    <t>763</t>
  </si>
  <si>
    <t>00000ZT</t>
  </si>
  <si>
    <t>09:46:15</t>
  </si>
  <si>
    <t>761</t>
  </si>
  <si>
    <t>00000ZG</t>
  </si>
  <si>
    <t>09:44:33</t>
  </si>
  <si>
    <t>758</t>
  </si>
  <si>
    <t>00000X4</t>
  </si>
  <si>
    <t>09:44:11</t>
  </si>
  <si>
    <t>753</t>
  </si>
  <si>
    <t>00000WM</t>
  </si>
  <si>
    <t>09:43:59</t>
  </si>
  <si>
    <t>750</t>
  </si>
  <si>
    <t>00000W9</t>
  </si>
  <si>
    <t>09:43:39</t>
  </si>
  <si>
    <t>748</t>
  </si>
  <si>
    <t>00000VN</t>
  </si>
  <si>
    <t>09:43:25</t>
  </si>
  <si>
    <t>745</t>
  </si>
  <si>
    <t>00000V5</t>
  </si>
  <si>
    <t>09:42:50</t>
  </si>
  <si>
    <t>739</t>
  </si>
  <si>
    <t>00000U6</t>
  </si>
  <si>
    <t>09:42:09</t>
  </si>
  <si>
    <t>736</t>
  </si>
  <si>
    <t>00000TG</t>
  </si>
  <si>
    <t>09:41:45</t>
  </si>
  <si>
    <t>733</t>
  </si>
  <si>
    <t>00000SQ</t>
  </si>
  <si>
    <t>09:39:38</t>
  </si>
  <si>
    <t>728</t>
  </si>
  <si>
    <t>0001171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</si>
</sst>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2"/>
  <sheetViews>
    <sheetView zoomScale="130" zoomScaleNormal="130" workbookViewId="0">
      <pane ySplit="1" topLeftCell="A41" activePane="bottomLeft" state="frozen"/>
      <selection pane="bottomLeft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50</v>
      </c>
      <c r="B2" s="7" t="s">
        <v>33</v>
      </c>
      <c r="C2" s="7">
        <v>41.53</v>
      </c>
      <c r="D2" s="7">
        <v>500</v>
      </c>
      <c r="E2" s="7">
        <v>41.53</v>
      </c>
      <c r="F2" s="7">
        <v>500</v>
      </c>
      <c r="G2" s="7" t="s">
        <v>29</v>
      </c>
      <c r="H2" s="7" t="s">
        <v>51</v>
      </c>
      <c r="I2" s="7" t="s">
        <v>52</v>
      </c>
      <c r="J2" s="7" t="s">
        <v>53</v>
      </c>
      <c r="K2" s="7" t="s">
        <v>34</v>
      </c>
      <c r="L2" s="7" t="s">
        <v>31</v>
      </c>
      <c r="M2" s="7" t="s">
        <v>32</v>
      </c>
      <c r="N2" s="7" t="s">
        <v>54</v>
      </c>
      <c r="O2" s="4"/>
    </row>
    <row r="3" spans="1:15" x14ac:dyDescent="0.15">
      <c r="A3" s="7" t="s">
        <v>48</v>
      </c>
      <c r="B3" s="7" t="s">
        <v>33</v>
      </c>
      <c r="C3" s="7">
        <v>7.93</v>
      </c>
      <c r="D3" s="7">
        <v>2300</v>
      </c>
      <c r="E3" s="7">
        <v>7.93</v>
      </c>
      <c r="F3" s="7">
        <v>2300</v>
      </c>
      <c r="G3" s="7" t="s">
        <v>29</v>
      </c>
      <c r="H3" s="7" t="s">
        <v>55</v>
      </c>
      <c r="I3" s="7" t="s">
        <v>56</v>
      </c>
      <c r="J3" s="7" t="s">
        <v>49</v>
      </c>
      <c r="K3" s="7" t="s">
        <v>30</v>
      </c>
      <c r="L3" s="7" t="s">
        <v>31</v>
      </c>
      <c r="M3" s="7" t="s">
        <v>32</v>
      </c>
      <c r="N3" s="7" t="s">
        <v>57</v>
      </c>
      <c r="O3" s="4"/>
    </row>
    <row r="4" spans="1:15" x14ac:dyDescent="0.15">
      <c r="A4" s="7" t="s">
        <v>58</v>
      </c>
      <c r="B4" s="7" t="s">
        <v>33</v>
      </c>
      <c r="C4" s="7">
        <v>25.9</v>
      </c>
      <c r="D4" s="7">
        <v>1900</v>
      </c>
      <c r="E4" s="7">
        <v>25.9</v>
      </c>
      <c r="F4" s="7">
        <v>1900</v>
      </c>
      <c r="G4" s="7" t="s">
        <v>29</v>
      </c>
      <c r="H4" s="7" t="s">
        <v>59</v>
      </c>
      <c r="I4" s="7" t="s">
        <v>60</v>
      </c>
      <c r="J4" s="7" t="s">
        <v>61</v>
      </c>
      <c r="K4" s="7" t="s">
        <v>30</v>
      </c>
      <c r="L4" s="7" t="s">
        <v>31</v>
      </c>
      <c r="M4" s="7" t="s">
        <v>32</v>
      </c>
      <c r="N4" s="7" t="s">
        <v>62</v>
      </c>
    </row>
    <row r="5" spans="1:15" x14ac:dyDescent="0.15">
      <c r="A5" s="7" t="s">
        <v>46</v>
      </c>
      <c r="B5" s="7" t="s">
        <v>33</v>
      </c>
      <c r="C5" s="7">
        <v>31.9</v>
      </c>
      <c r="D5" s="7">
        <v>1400</v>
      </c>
      <c r="E5" s="7">
        <v>31.9</v>
      </c>
      <c r="F5" s="7">
        <v>1400</v>
      </c>
      <c r="G5" s="7" t="s">
        <v>29</v>
      </c>
      <c r="H5" s="7" t="s">
        <v>63</v>
      </c>
      <c r="I5" s="7" t="s">
        <v>64</v>
      </c>
      <c r="J5" s="7" t="s">
        <v>47</v>
      </c>
      <c r="K5" s="7" t="s">
        <v>30</v>
      </c>
      <c r="L5" s="7" t="s">
        <v>31</v>
      </c>
      <c r="M5" s="7" t="s">
        <v>32</v>
      </c>
      <c r="N5" s="7" t="s">
        <v>65</v>
      </c>
    </row>
    <row r="6" spans="1:15" x14ac:dyDescent="0.15">
      <c r="A6" s="7" t="s">
        <v>66</v>
      </c>
      <c r="B6" s="7" t="s">
        <v>33</v>
      </c>
      <c r="C6" s="7">
        <v>36.15</v>
      </c>
      <c r="D6" s="7">
        <v>1800</v>
      </c>
      <c r="E6" s="7">
        <v>36.15</v>
      </c>
      <c r="F6" s="7">
        <v>1800</v>
      </c>
      <c r="G6" s="7" t="s">
        <v>29</v>
      </c>
      <c r="H6" s="7" t="s">
        <v>67</v>
      </c>
      <c r="I6" s="7" t="s">
        <v>68</v>
      </c>
      <c r="J6" s="7" t="s">
        <v>69</v>
      </c>
      <c r="K6" s="7" t="s">
        <v>34</v>
      </c>
      <c r="L6" s="7" t="s">
        <v>31</v>
      </c>
      <c r="M6" s="7" t="s">
        <v>32</v>
      </c>
      <c r="N6" s="7" t="s">
        <v>70</v>
      </c>
    </row>
    <row r="7" spans="1:15" x14ac:dyDescent="0.15">
      <c r="A7" s="7" t="s">
        <v>71</v>
      </c>
      <c r="B7" s="7" t="s">
        <v>33</v>
      </c>
      <c r="C7" s="7">
        <v>30.58</v>
      </c>
      <c r="D7" s="7">
        <v>2800</v>
      </c>
      <c r="E7" s="7">
        <v>30.58</v>
      </c>
      <c r="F7" s="7">
        <v>2800</v>
      </c>
      <c r="G7" s="7" t="s">
        <v>29</v>
      </c>
      <c r="H7" s="7" t="s">
        <v>72</v>
      </c>
      <c r="I7" s="7" t="s">
        <v>73</v>
      </c>
      <c r="J7" s="7" t="s">
        <v>74</v>
      </c>
      <c r="K7" s="7" t="s">
        <v>34</v>
      </c>
      <c r="L7" s="7" t="s">
        <v>31</v>
      </c>
      <c r="M7" s="7" t="s">
        <v>32</v>
      </c>
      <c r="N7" s="7" t="s">
        <v>75</v>
      </c>
    </row>
    <row r="8" spans="1:15" x14ac:dyDescent="0.15">
      <c r="A8" s="7" t="s">
        <v>40</v>
      </c>
      <c r="B8" s="7" t="s">
        <v>33</v>
      </c>
      <c r="C8" s="7">
        <v>26.55</v>
      </c>
      <c r="D8" s="7">
        <v>200</v>
      </c>
      <c r="E8" s="7">
        <v>26.55</v>
      </c>
      <c r="F8" s="7">
        <v>200</v>
      </c>
      <c r="G8" s="7" t="s">
        <v>29</v>
      </c>
      <c r="H8" s="7" t="s">
        <v>76</v>
      </c>
      <c r="I8" s="7" t="s">
        <v>77</v>
      </c>
      <c r="J8" s="7" t="s">
        <v>41</v>
      </c>
      <c r="K8" s="7" t="s">
        <v>30</v>
      </c>
      <c r="L8" s="7" t="s">
        <v>31</v>
      </c>
      <c r="M8" s="7" t="s">
        <v>32</v>
      </c>
      <c r="N8" s="7" t="s">
        <v>78</v>
      </c>
    </row>
    <row r="9" spans="1:15" x14ac:dyDescent="0.15">
      <c r="A9" s="7" t="s">
        <v>42</v>
      </c>
      <c r="B9" s="7" t="s">
        <v>33</v>
      </c>
      <c r="C9" s="7">
        <v>48.78</v>
      </c>
      <c r="D9" s="7">
        <v>200</v>
      </c>
      <c r="E9" s="7">
        <v>48.78</v>
      </c>
      <c r="F9" s="7">
        <v>200</v>
      </c>
      <c r="G9" s="7" t="s">
        <v>29</v>
      </c>
      <c r="H9" s="7" t="s">
        <v>79</v>
      </c>
      <c r="I9" s="7" t="s">
        <v>80</v>
      </c>
      <c r="J9" s="7" t="s">
        <v>43</v>
      </c>
      <c r="K9" s="7" t="s">
        <v>34</v>
      </c>
      <c r="L9" s="7" t="s">
        <v>31</v>
      </c>
      <c r="M9" s="7" t="s">
        <v>32</v>
      </c>
      <c r="N9" s="7" t="s">
        <v>81</v>
      </c>
    </row>
    <row r="10" spans="1:15" x14ac:dyDescent="0.15">
      <c r="A10" s="7" t="s">
        <v>44</v>
      </c>
      <c r="B10" s="7" t="s">
        <v>33</v>
      </c>
      <c r="C10" s="7">
        <v>18.559999999999999</v>
      </c>
      <c r="D10" s="7">
        <v>600</v>
      </c>
      <c r="E10" s="7">
        <v>18.559999999999999</v>
      </c>
      <c r="F10" s="7">
        <v>600</v>
      </c>
      <c r="G10" s="7" t="s">
        <v>29</v>
      </c>
      <c r="H10" s="7" t="s">
        <v>82</v>
      </c>
      <c r="I10" s="7" t="s">
        <v>83</v>
      </c>
      <c r="J10" s="7" t="s">
        <v>45</v>
      </c>
      <c r="K10" s="7" t="s">
        <v>30</v>
      </c>
      <c r="L10" s="7" t="s">
        <v>31</v>
      </c>
      <c r="M10" s="7" t="s">
        <v>32</v>
      </c>
      <c r="N10" s="7" t="s">
        <v>84</v>
      </c>
      <c r="O10" s="7"/>
    </row>
    <row r="11" spans="1:15" x14ac:dyDescent="0.15">
      <c r="A11" s="7" t="s">
        <v>38</v>
      </c>
      <c r="B11" s="7" t="s">
        <v>33</v>
      </c>
      <c r="C11" s="7">
        <v>17.95</v>
      </c>
      <c r="D11" s="7">
        <v>1400</v>
      </c>
      <c r="E11" s="7">
        <v>17.95</v>
      </c>
      <c r="F11" s="7">
        <v>1400</v>
      </c>
      <c r="G11" s="7" t="s">
        <v>29</v>
      </c>
      <c r="H11" s="7" t="s">
        <v>85</v>
      </c>
      <c r="I11" s="7" t="s">
        <v>86</v>
      </c>
      <c r="J11" s="7" t="s">
        <v>39</v>
      </c>
      <c r="K11" s="7" t="s">
        <v>30</v>
      </c>
      <c r="L11" s="7" t="s">
        <v>31</v>
      </c>
      <c r="M11" s="7" t="s">
        <v>32</v>
      </c>
      <c r="N11" s="7" t="s">
        <v>87</v>
      </c>
    </row>
    <row r="12" spans="1:15" x14ac:dyDescent="0.15">
      <c r="A12" s="7" t="s">
        <v>40</v>
      </c>
      <c r="B12" s="7" t="s">
        <v>35</v>
      </c>
      <c r="C12" s="7">
        <v>26.51</v>
      </c>
      <c r="D12" s="7">
        <v>700</v>
      </c>
      <c r="E12" s="7">
        <v>26.51</v>
      </c>
      <c r="F12" s="7">
        <v>700</v>
      </c>
      <c r="G12" s="7" t="s">
        <v>29</v>
      </c>
      <c r="H12" s="7" t="s">
        <v>88</v>
      </c>
      <c r="I12" s="7" t="s">
        <v>89</v>
      </c>
      <c r="J12" s="7" t="s">
        <v>41</v>
      </c>
      <c r="K12" s="7" t="s">
        <v>30</v>
      </c>
      <c r="L12" s="7" t="s">
        <v>31</v>
      </c>
      <c r="M12" s="7" t="s">
        <v>32</v>
      </c>
      <c r="N12" s="7" t="s">
        <v>90</v>
      </c>
    </row>
    <row r="13" spans="1:15" x14ac:dyDescent="0.15">
      <c r="A13" s="7" t="s">
        <v>40</v>
      </c>
      <c r="B13" s="7" t="s">
        <v>35</v>
      </c>
      <c r="C13" s="7">
        <v>26.52</v>
      </c>
      <c r="D13" s="7">
        <v>700</v>
      </c>
      <c r="E13" s="7">
        <v>26.48</v>
      </c>
      <c r="F13" s="7">
        <v>700</v>
      </c>
      <c r="G13" s="7" t="s">
        <v>29</v>
      </c>
      <c r="H13" s="7" t="s">
        <v>91</v>
      </c>
      <c r="I13" s="7" t="s">
        <v>92</v>
      </c>
      <c r="J13" s="7" t="s">
        <v>41</v>
      </c>
      <c r="K13" s="7" t="s">
        <v>30</v>
      </c>
      <c r="L13" s="7" t="s">
        <v>31</v>
      </c>
      <c r="M13" s="7" t="s">
        <v>32</v>
      </c>
      <c r="N13" s="7" t="s">
        <v>93</v>
      </c>
    </row>
    <row r="14" spans="1:15" x14ac:dyDescent="0.15">
      <c r="A14" s="7" t="s">
        <v>46</v>
      </c>
      <c r="B14" s="7" t="s">
        <v>35</v>
      </c>
      <c r="C14" s="7">
        <v>31.56</v>
      </c>
      <c r="D14" s="7">
        <v>600</v>
      </c>
      <c r="E14" s="7">
        <v>31.56</v>
      </c>
      <c r="F14" s="7">
        <v>600</v>
      </c>
      <c r="G14" s="7" t="s">
        <v>29</v>
      </c>
      <c r="H14" s="7" t="s">
        <v>94</v>
      </c>
      <c r="I14" s="7" t="s">
        <v>95</v>
      </c>
      <c r="J14" s="7" t="s">
        <v>47</v>
      </c>
      <c r="K14" s="7" t="s">
        <v>30</v>
      </c>
      <c r="L14" s="7" t="s">
        <v>31</v>
      </c>
      <c r="M14" s="7" t="s">
        <v>32</v>
      </c>
      <c r="N14" s="7" t="s">
        <v>96</v>
      </c>
    </row>
    <row r="15" spans="1:15" x14ac:dyDescent="0.15">
      <c r="A15" s="7" t="s">
        <v>36</v>
      </c>
      <c r="B15" s="7" t="s">
        <v>35</v>
      </c>
      <c r="C15" s="7">
        <v>23.7</v>
      </c>
      <c r="D15" s="7">
        <v>800</v>
      </c>
      <c r="E15" s="7">
        <v>23.7</v>
      </c>
      <c r="F15" s="7">
        <v>800</v>
      </c>
      <c r="G15" s="7" t="s">
        <v>29</v>
      </c>
      <c r="H15" s="7" t="s">
        <v>97</v>
      </c>
      <c r="I15" s="7" t="s">
        <v>98</v>
      </c>
      <c r="J15" s="7" t="s">
        <v>37</v>
      </c>
      <c r="K15" s="7" t="s">
        <v>30</v>
      </c>
      <c r="L15" s="7" t="s">
        <v>31</v>
      </c>
      <c r="M15" s="7" t="s">
        <v>32</v>
      </c>
      <c r="N15" s="7" t="s">
        <v>99</v>
      </c>
    </row>
    <row r="16" spans="1:15" x14ac:dyDescent="0.15">
      <c r="A16" s="7" t="s">
        <v>40</v>
      </c>
      <c r="B16" s="7" t="s">
        <v>35</v>
      </c>
      <c r="C16" s="7">
        <v>27.14</v>
      </c>
      <c r="D16" s="7">
        <v>700</v>
      </c>
      <c r="E16" s="7">
        <v>27.14</v>
      </c>
      <c r="F16" s="7">
        <v>700</v>
      </c>
      <c r="G16" s="7" t="s">
        <v>29</v>
      </c>
      <c r="H16" s="7" t="s">
        <v>100</v>
      </c>
      <c r="I16" s="7" t="s">
        <v>101</v>
      </c>
      <c r="J16" s="7" t="s">
        <v>41</v>
      </c>
      <c r="K16" s="7" t="s">
        <v>30</v>
      </c>
      <c r="L16" s="7" t="s">
        <v>31</v>
      </c>
      <c r="M16" s="7" t="s">
        <v>32</v>
      </c>
      <c r="N16" s="7" t="s">
        <v>102</v>
      </c>
      <c r="O16" s="7"/>
    </row>
    <row r="17" spans="1:15" x14ac:dyDescent="0.15">
      <c r="A17" s="7" t="s">
        <v>40</v>
      </c>
      <c r="B17" s="7" t="s">
        <v>35</v>
      </c>
      <c r="C17" s="7">
        <v>27.18</v>
      </c>
      <c r="D17" s="7">
        <v>700</v>
      </c>
      <c r="E17" s="7">
        <v>27.18</v>
      </c>
      <c r="F17" s="7">
        <v>700</v>
      </c>
      <c r="G17" s="7" t="s">
        <v>29</v>
      </c>
      <c r="H17" s="7" t="s">
        <v>103</v>
      </c>
      <c r="I17" s="7" t="s">
        <v>104</v>
      </c>
      <c r="J17" s="7" t="s">
        <v>41</v>
      </c>
      <c r="K17" s="7" t="s">
        <v>30</v>
      </c>
      <c r="L17" s="7" t="s">
        <v>31</v>
      </c>
      <c r="M17" s="7" t="s">
        <v>32</v>
      </c>
      <c r="N17" s="7" t="s">
        <v>105</v>
      </c>
    </row>
    <row r="18" spans="1:15" x14ac:dyDescent="0.15">
      <c r="A18" s="7" t="s">
        <v>36</v>
      </c>
      <c r="B18" s="7" t="s">
        <v>35</v>
      </c>
      <c r="C18" s="7">
        <v>23.71</v>
      </c>
      <c r="D18" s="7">
        <v>800</v>
      </c>
      <c r="E18" s="7">
        <v>23.7</v>
      </c>
      <c r="F18" s="7">
        <v>800</v>
      </c>
      <c r="G18" s="7" t="s">
        <v>29</v>
      </c>
      <c r="H18" s="7" t="s">
        <v>106</v>
      </c>
      <c r="I18" s="7" t="s">
        <v>107</v>
      </c>
      <c r="J18" s="7" t="s">
        <v>37</v>
      </c>
      <c r="K18" s="7" t="s">
        <v>30</v>
      </c>
      <c r="L18" s="7" t="s">
        <v>31</v>
      </c>
      <c r="M18" s="7" t="s">
        <v>32</v>
      </c>
      <c r="N18" s="7" t="s">
        <v>108</v>
      </c>
      <c r="O18" s="7">
        <f>+E18*F18/36</f>
        <v>526.66666666666663</v>
      </c>
    </row>
    <row r="19" spans="1:15" x14ac:dyDescent="0.15">
      <c r="A19" s="7" t="s">
        <v>36</v>
      </c>
      <c r="B19" s="7" t="s">
        <v>35</v>
      </c>
      <c r="C19" s="7">
        <v>23.71</v>
      </c>
      <c r="D19" s="7">
        <v>800</v>
      </c>
      <c r="E19" s="7">
        <v>23.71</v>
      </c>
      <c r="F19" s="7">
        <v>800</v>
      </c>
      <c r="G19" s="7" t="s">
        <v>29</v>
      </c>
      <c r="H19" s="7" t="s">
        <v>109</v>
      </c>
      <c r="I19" s="7" t="s">
        <v>110</v>
      </c>
      <c r="J19" s="7" t="s">
        <v>37</v>
      </c>
      <c r="K19" s="7" t="s">
        <v>30</v>
      </c>
      <c r="L19" s="7" t="s">
        <v>31</v>
      </c>
      <c r="M19" s="7" t="s">
        <v>32</v>
      </c>
      <c r="N19" s="7" t="s">
        <v>111</v>
      </c>
    </row>
    <row r="20" spans="1:15" x14ac:dyDescent="0.15">
      <c r="A20" s="7" t="s">
        <v>36</v>
      </c>
      <c r="B20" s="7" t="s">
        <v>35</v>
      </c>
      <c r="C20" s="7">
        <v>23.72</v>
      </c>
      <c r="D20" s="7">
        <v>800</v>
      </c>
      <c r="E20" s="7">
        <v>23.71</v>
      </c>
      <c r="F20" s="7">
        <v>800</v>
      </c>
      <c r="G20" s="7" t="s">
        <v>29</v>
      </c>
      <c r="H20" s="7" t="s">
        <v>112</v>
      </c>
      <c r="I20" s="7" t="s">
        <v>113</v>
      </c>
      <c r="J20" s="7" t="s">
        <v>37</v>
      </c>
      <c r="K20" s="7" t="s">
        <v>30</v>
      </c>
      <c r="L20" s="7" t="s">
        <v>31</v>
      </c>
      <c r="M20" s="7" t="s">
        <v>32</v>
      </c>
      <c r="N20" s="7" t="s">
        <v>114</v>
      </c>
    </row>
    <row r="21" spans="1:15" x14ac:dyDescent="0.15">
      <c r="A21" s="7" t="s">
        <v>46</v>
      </c>
      <c r="B21" s="7" t="s">
        <v>35</v>
      </c>
      <c r="C21" s="7">
        <v>31.56</v>
      </c>
      <c r="D21" s="7">
        <v>600</v>
      </c>
      <c r="E21" s="7">
        <v>31.56</v>
      </c>
      <c r="F21" s="7">
        <v>600</v>
      </c>
      <c r="G21" s="7" t="s">
        <v>29</v>
      </c>
      <c r="H21" s="7" t="s">
        <v>115</v>
      </c>
      <c r="I21" s="7" t="s">
        <v>116</v>
      </c>
      <c r="J21" s="7" t="s">
        <v>47</v>
      </c>
      <c r="K21" s="7" t="s">
        <v>30</v>
      </c>
      <c r="L21" s="7" t="s">
        <v>31</v>
      </c>
      <c r="M21" s="7" t="s">
        <v>32</v>
      </c>
      <c r="N21" s="7" t="s">
        <v>117</v>
      </c>
    </row>
    <row r="22" spans="1:15" x14ac:dyDescent="0.15">
      <c r="A22" s="7" t="s">
        <v>66</v>
      </c>
      <c r="B22" s="7" t="s">
        <v>35</v>
      </c>
      <c r="C22" s="7">
        <v>36.17</v>
      </c>
      <c r="D22" s="7">
        <v>500</v>
      </c>
      <c r="E22" s="7">
        <v>36.17</v>
      </c>
      <c r="F22" s="7">
        <v>500</v>
      </c>
      <c r="G22" s="7" t="s">
        <v>29</v>
      </c>
      <c r="H22" s="7" t="s">
        <v>118</v>
      </c>
      <c r="I22" s="7" t="s">
        <v>119</v>
      </c>
      <c r="J22" s="7" t="s">
        <v>69</v>
      </c>
      <c r="K22" s="7" t="s">
        <v>34</v>
      </c>
      <c r="L22" s="7" t="s">
        <v>31</v>
      </c>
      <c r="M22" s="7" t="s">
        <v>32</v>
      </c>
      <c r="N22" s="7" t="s">
        <v>120</v>
      </c>
    </row>
    <row r="23" spans="1:15" x14ac:dyDescent="0.15">
      <c r="A23" s="7" t="s">
        <v>66</v>
      </c>
      <c r="B23" s="7" t="s">
        <v>35</v>
      </c>
      <c r="C23" s="7">
        <v>36.31</v>
      </c>
      <c r="D23" s="7">
        <v>1000</v>
      </c>
      <c r="E23" s="7">
        <v>36.31</v>
      </c>
      <c r="F23" s="7">
        <v>1000</v>
      </c>
      <c r="G23" s="7" t="s">
        <v>29</v>
      </c>
      <c r="H23" s="7" t="s">
        <v>121</v>
      </c>
      <c r="I23" s="7" t="s">
        <v>122</v>
      </c>
      <c r="J23" s="7" t="s">
        <v>69</v>
      </c>
      <c r="K23" s="7" t="s">
        <v>34</v>
      </c>
      <c r="L23" s="7" t="s">
        <v>31</v>
      </c>
      <c r="M23" s="7" t="s">
        <v>32</v>
      </c>
      <c r="N23" s="7" t="s">
        <v>123</v>
      </c>
    </row>
    <row r="24" spans="1:15" x14ac:dyDescent="0.15">
      <c r="A24" s="7" t="s">
        <v>38</v>
      </c>
      <c r="B24" s="7" t="s">
        <v>35</v>
      </c>
      <c r="C24" s="7">
        <v>18.97</v>
      </c>
      <c r="D24" s="7">
        <v>1000</v>
      </c>
      <c r="E24" s="7">
        <v>18.97</v>
      </c>
      <c r="F24" s="7">
        <v>1000</v>
      </c>
      <c r="G24" s="7" t="s">
        <v>29</v>
      </c>
      <c r="H24" s="7" t="s">
        <v>124</v>
      </c>
      <c r="I24" s="7" t="s">
        <v>125</v>
      </c>
      <c r="J24" s="7" t="s">
        <v>39</v>
      </c>
      <c r="K24" s="7" t="s">
        <v>30</v>
      </c>
      <c r="L24" s="7" t="s">
        <v>31</v>
      </c>
      <c r="M24" s="7" t="s">
        <v>32</v>
      </c>
      <c r="N24" s="7" t="s">
        <v>126</v>
      </c>
    </row>
    <row r="25" spans="1:15" x14ac:dyDescent="0.15">
      <c r="A25" s="7" t="s">
        <v>48</v>
      </c>
      <c r="B25" s="7" t="s">
        <v>35</v>
      </c>
      <c r="C25" s="7">
        <v>8.0500000000000007</v>
      </c>
      <c r="D25" s="7">
        <v>2400</v>
      </c>
      <c r="E25" s="7">
        <v>8.0500000000000007</v>
      </c>
      <c r="F25" s="7">
        <v>2400</v>
      </c>
      <c r="G25" s="7" t="s">
        <v>29</v>
      </c>
      <c r="H25" s="7" t="s">
        <v>127</v>
      </c>
      <c r="I25" s="7" t="s">
        <v>128</v>
      </c>
      <c r="J25" s="7" t="s">
        <v>49</v>
      </c>
      <c r="K25" s="7" t="s">
        <v>30</v>
      </c>
      <c r="L25" s="7" t="s">
        <v>31</v>
      </c>
      <c r="M25" s="7" t="s">
        <v>32</v>
      </c>
      <c r="N25" s="7" t="s">
        <v>129</v>
      </c>
    </row>
    <row r="26" spans="1:15" x14ac:dyDescent="0.15">
      <c r="A26" s="7" t="s">
        <v>66</v>
      </c>
      <c r="B26" s="7" t="s">
        <v>35</v>
      </c>
      <c r="C26" s="7">
        <v>36.299999999999997</v>
      </c>
      <c r="D26" s="7">
        <v>500</v>
      </c>
      <c r="E26" s="7">
        <v>36.299999999999997</v>
      </c>
      <c r="F26" s="7">
        <v>500</v>
      </c>
      <c r="G26" s="7" t="s">
        <v>29</v>
      </c>
      <c r="H26" s="7" t="s">
        <v>130</v>
      </c>
      <c r="I26" s="7" t="s">
        <v>131</v>
      </c>
      <c r="J26" s="7" t="s">
        <v>69</v>
      </c>
      <c r="K26" s="7" t="s">
        <v>34</v>
      </c>
      <c r="L26" s="7" t="s">
        <v>31</v>
      </c>
      <c r="M26" s="7" t="s">
        <v>32</v>
      </c>
      <c r="N26" s="7" t="s">
        <v>132</v>
      </c>
    </row>
    <row r="27" spans="1:15" x14ac:dyDescent="0.15">
      <c r="A27" s="7" t="s">
        <v>66</v>
      </c>
      <c r="B27" s="7" t="s">
        <v>35</v>
      </c>
      <c r="C27" s="7">
        <v>36.31</v>
      </c>
      <c r="D27" s="7">
        <v>500</v>
      </c>
      <c r="E27" s="7">
        <v>36.308</v>
      </c>
      <c r="F27" s="7">
        <v>500</v>
      </c>
      <c r="G27" s="7" t="s">
        <v>29</v>
      </c>
      <c r="H27" s="7" t="s">
        <v>133</v>
      </c>
      <c r="I27" s="7" t="s">
        <v>134</v>
      </c>
      <c r="J27" s="7" t="s">
        <v>69</v>
      </c>
      <c r="K27" s="7" t="s">
        <v>34</v>
      </c>
      <c r="L27" s="7" t="s">
        <v>31</v>
      </c>
      <c r="M27" s="7" t="s">
        <v>32</v>
      </c>
      <c r="N27" s="7" t="s">
        <v>135</v>
      </c>
    </row>
    <row r="28" spans="1:15" x14ac:dyDescent="0.15">
      <c r="A28" s="7" t="s">
        <v>136</v>
      </c>
      <c r="B28" s="7" t="s">
        <v>35</v>
      </c>
      <c r="C28" s="7">
        <v>14.68</v>
      </c>
      <c r="D28" s="7">
        <v>1300</v>
      </c>
      <c r="E28" s="7">
        <v>14.68</v>
      </c>
      <c r="F28" s="7">
        <v>1300</v>
      </c>
      <c r="G28" s="7" t="s">
        <v>29</v>
      </c>
      <c r="H28" s="7" t="s">
        <v>137</v>
      </c>
      <c r="I28" s="7" t="s">
        <v>138</v>
      </c>
      <c r="J28" s="7" t="s">
        <v>139</v>
      </c>
      <c r="K28" s="7" t="s">
        <v>30</v>
      </c>
      <c r="L28" s="7" t="s">
        <v>31</v>
      </c>
      <c r="M28" s="7" t="s">
        <v>32</v>
      </c>
      <c r="N28" s="7" t="s">
        <v>140</v>
      </c>
    </row>
    <row r="29" spans="1:15" x14ac:dyDescent="0.15">
      <c r="A29" s="7" t="s">
        <v>58</v>
      </c>
      <c r="B29" s="7" t="s">
        <v>35</v>
      </c>
      <c r="C29" s="7">
        <v>25.91</v>
      </c>
      <c r="D29" s="7">
        <v>700</v>
      </c>
      <c r="E29" s="7">
        <v>25.91</v>
      </c>
      <c r="F29" s="7">
        <v>700</v>
      </c>
      <c r="G29" s="7" t="s">
        <v>29</v>
      </c>
      <c r="H29" s="7" t="s">
        <v>141</v>
      </c>
      <c r="I29" s="7" t="s">
        <v>142</v>
      </c>
      <c r="J29" s="7" t="s">
        <v>61</v>
      </c>
      <c r="K29" s="7" t="s">
        <v>30</v>
      </c>
      <c r="L29" s="7" t="s">
        <v>31</v>
      </c>
      <c r="M29" s="7" t="s">
        <v>32</v>
      </c>
      <c r="N29" s="7" t="s">
        <v>143</v>
      </c>
    </row>
    <row r="30" spans="1:15" x14ac:dyDescent="0.15">
      <c r="A30" s="7" t="s">
        <v>66</v>
      </c>
      <c r="B30" s="7" t="s">
        <v>35</v>
      </c>
      <c r="C30" s="7">
        <v>36.270000000000003</v>
      </c>
      <c r="D30" s="7">
        <v>500</v>
      </c>
      <c r="E30" s="7">
        <v>36.270000000000003</v>
      </c>
      <c r="F30" s="7">
        <v>500</v>
      </c>
      <c r="G30" s="7" t="s">
        <v>29</v>
      </c>
      <c r="H30" s="7" t="s">
        <v>144</v>
      </c>
      <c r="I30" s="7" t="s">
        <v>145</v>
      </c>
      <c r="J30" s="7" t="s">
        <v>69</v>
      </c>
      <c r="K30" s="7" t="s">
        <v>34</v>
      </c>
      <c r="L30" s="7" t="s">
        <v>31</v>
      </c>
      <c r="M30" s="7" t="s">
        <v>32</v>
      </c>
      <c r="N30" s="7" t="s">
        <v>146</v>
      </c>
      <c r="O30">
        <f>+E30*F30/36</f>
        <v>503.75</v>
      </c>
    </row>
    <row r="31" spans="1:15" x14ac:dyDescent="0.15">
      <c r="A31" t="s">
        <v>58</v>
      </c>
      <c r="B31" t="s">
        <v>35</v>
      </c>
      <c r="C31">
        <v>25.92</v>
      </c>
      <c r="D31">
        <v>700</v>
      </c>
      <c r="E31">
        <v>25.92</v>
      </c>
      <c r="F31">
        <v>700</v>
      </c>
      <c r="G31" t="s">
        <v>29</v>
      </c>
      <c r="H31" t="s">
        <v>147</v>
      </c>
      <c r="I31" t="s">
        <v>148</v>
      </c>
      <c r="J31" t="s">
        <v>61</v>
      </c>
      <c r="K31" t="s">
        <v>30</v>
      </c>
      <c r="L31" t="s">
        <v>31</v>
      </c>
      <c r="M31" t="s">
        <v>32</v>
      </c>
      <c r="N31" t="s">
        <v>149</v>
      </c>
    </row>
    <row r="32" spans="1:15" x14ac:dyDescent="0.15">
      <c r="A32" t="s">
        <v>46</v>
      </c>
      <c r="B32" t="s">
        <v>35</v>
      </c>
      <c r="C32">
        <v>31.42</v>
      </c>
      <c r="D32">
        <v>600</v>
      </c>
      <c r="E32">
        <v>31.42</v>
      </c>
      <c r="F32">
        <v>600</v>
      </c>
      <c r="G32" t="s">
        <v>29</v>
      </c>
      <c r="H32" t="s">
        <v>150</v>
      </c>
      <c r="I32" t="s">
        <v>151</v>
      </c>
      <c r="J32" t="s">
        <v>47</v>
      </c>
      <c r="K32" t="s">
        <v>30</v>
      </c>
      <c r="L32" t="s">
        <v>31</v>
      </c>
      <c r="M32" t="s">
        <v>32</v>
      </c>
      <c r="N32" t="s">
        <v>152</v>
      </c>
    </row>
    <row r="33" spans="1:14" x14ac:dyDescent="0.15">
      <c r="A33" t="s">
        <v>46</v>
      </c>
      <c r="B33" t="s">
        <v>35</v>
      </c>
      <c r="C33">
        <v>31.41</v>
      </c>
      <c r="D33">
        <v>600</v>
      </c>
      <c r="E33">
        <v>31.41</v>
      </c>
      <c r="F33">
        <v>600</v>
      </c>
      <c r="G33" t="s">
        <v>29</v>
      </c>
      <c r="H33" t="s">
        <v>153</v>
      </c>
      <c r="I33" t="s">
        <v>154</v>
      </c>
      <c r="J33" t="s">
        <v>47</v>
      </c>
      <c r="K33" t="s">
        <v>30</v>
      </c>
      <c r="L33" t="s">
        <v>31</v>
      </c>
      <c r="M33" t="s">
        <v>32</v>
      </c>
      <c r="N33" t="s">
        <v>155</v>
      </c>
    </row>
    <row r="34" spans="1:14" x14ac:dyDescent="0.15">
      <c r="A34" t="s">
        <v>156</v>
      </c>
      <c r="B34" t="s">
        <v>35</v>
      </c>
      <c r="C34">
        <v>16.34</v>
      </c>
      <c r="D34">
        <v>1200</v>
      </c>
      <c r="E34">
        <v>16.34</v>
      </c>
      <c r="F34">
        <v>1200</v>
      </c>
      <c r="G34" t="s">
        <v>29</v>
      </c>
      <c r="H34" t="s">
        <v>157</v>
      </c>
      <c r="I34" t="s">
        <v>158</v>
      </c>
      <c r="J34" t="s">
        <v>159</v>
      </c>
      <c r="K34" t="s">
        <v>34</v>
      </c>
      <c r="L34" t="s">
        <v>31</v>
      </c>
      <c r="M34" t="s">
        <v>32</v>
      </c>
      <c r="N34" t="s">
        <v>160</v>
      </c>
    </row>
    <row r="35" spans="1:14" x14ac:dyDescent="0.15">
      <c r="A35" t="s">
        <v>58</v>
      </c>
      <c r="B35" t="s">
        <v>35</v>
      </c>
      <c r="C35">
        <v>25.95</v>
      </c>
      <c r="D35">
        <v>700</v>
      </c>
      <c r="E35">
        <v>25.94</v>
      </c>
      <c r="F35">
        <v>700</v>
      </c>
      <c r="G35" t="s">
        <v>29</v>
      </c>
      <c r="H35" t="s">
        <v>161</v>
      </c>
      <c r="I35" t="s">
        <v>162</v>
      </c>
      <c r="J35" t="s">
        <v>61</v>
      </c>
      <c r="K35" t="s">
        <v>30</v>
      </c>
      <c r="L35" t="s">
        <v>31</v>
      </c>
      <c r="M35" t="s">
        <v>32</v>
      </c>
      <c r="N35" t="s">
        <v>163</v>
      </c>
    </row>
    <row r="36" spans="1:14" x14ac:dyDescent="0.15">
      <c r="A36" t="s">
        <v>46</v>
      </c>
      <c r="B36" t="s">
        <v>35</v>
      </c>
      <c r="C36">
        <v>31.39</v>
      </c>
      <c r="D36">
        <v>600</v>
      </c>
      <c r="E36">
        <v>31.39</v>
      </c>
      <c r="F36">
        <v>600</v>
      </c>
      <c r="G36" t="s">
        <v>29</v>
      </c>
      <c r="H36" t="s">
        <v>164</v>
      </c>
      <c r="I36" t="s">
        <v>165</v>
      </c>
      <c r="J36" t="s">
        <v>47</v>
      </c>
      <c r="K36" t="s">
        <v>30</v>
      </c>
      <c r="L36" t="s">
        <v>31</v>
      </c>
      <c r="M36" t="s">
        <v>32</v>
      </c>
      <c r="N36" t="s">
        <v>166</v>
      </c>
    </row>
    <row r="37" spans="1:14" x14ac:dyDescent="0.15">
      <c r="A37" t="s">
        <v>46</v>
      </c>
      <c r="B37" t="s">
        <v>35</v>
      </c>
      <c r="C37">
        <v>31.39</v>
      </c>
      <c r="D37">
        <v>1200</v>
      </c>
      <c r="E37">
        <v>31.39</v>
      </c>
      <c r="F37">
        <v>1200</v>
      </c>
      <c r="G37" t="s">
        <v>29</v>
      </c>
      <c r="H37" t="s">
        <v>167</v>
      </c>
      <c r="I37" t="s">
        <v>168</v>
      </c>
      <c r="J37" t="s">
        <v>47</v>
      </c>
      <c r="K37" t="s">
        <v>30</v>
      </c>
      <c r="L37" t="s">
        <v>31</v>
      </c>
      <c r="M37" t="s">
        <v>32</v>
      </c>
      <c r="N37" t="s">
        <v>169</v>
      </c>
    </row>
    <row r="38" spans="1:14" x14ac:dyDescent="0.15">
      <c r="A38" t="s">
        <v>136</v>
      </c>
      <c r="B38" t="s">
        <v>35</v>
      </c>
      <c r="C38">
        <v>14.73</v>
      </c>
      <c r="D38">
        <v>1300</v>
      </c>
      <c r="E38">
        <v>14.73</v>
      </c>
      <c r="F38">
        <v>1300</v>
      </c>
      <c r="G38" t="s">
        <v>29</v>
      </c>
      <c r="H38" t="s">
        <v>170</v>
      </c>
      <c r="I38" t="s">
        <v>171</v>
      </c>
      <c r="J38" t="s">
        <v>139</v>
      </c>
      <c r="K38" t="s">
        <v>30</v>
      </c>
      <c r="L38" t="s">
        <v>31</v>
      </c>
      <c r="M38" t="s">
        <v>32</v>
      </c>
      <c r="N38" t="s">
        <v>172</v>
      </c>
    </row>
    <row r="39" spans="1:14" x14ac:dyDescent="0.15">
      <c r="A39" t="s">
        <v>48</v>
      </c>
      <c r="B39" t="s">
        <v>35</v>
      </c>
      <c r="C39">
        <v>8.1300000000000008</v>
      </c>
      <c r="D39">
        <v>2400</v>
      </c>
      <c r="E39">
        <v>8.1300000000000008</v>
      </c>
      <c r="F39">
        <v>2400</v>
      </c>
      <c r="G39" t="s">
        <v>29</v>
      </c>
      <c r="H39" t="s">
        <v>173</v>
      </c>
      <c r="I39" t="s">
        <v>174</v>
      </c>
      <c r="J39" t="s">
        <v>49</v>
      </c>
      <c r="K39" t="s">
        <v>30</v>
      </c>
      <c r="L39" t="s">
        <v>31</v>
      </c>
      <c r="M39" t="s">
        <v>32</v>
      </c>
      <c r="N39" t="s">
        <v>175</v>
      </c>
    </row>
    <row r="40" spans="1:14" x14ac:dyDescent="0.15">
      <c r="A40" t="s">
        <v>156</v>
      </c>
      <c r="B40" t="s">
        <v>35</v>
      </c>
      <c r="C40">
        <v>16.36</v>
      </c>
      <c r="D40">
        <v>1200</v>
      </c>
      <c r="E40">
        <v>16.36</v>
      </c>
      <c r="F40">
        <v>1200</v>
      </c>
      <c r="G40" t="s">
        <v>29</v>
      </c>
      <c r="H40" t="s">
        <v>176</v>
      </c>
      <c r="I40" t="s">
        <v>177</v>
      </c>
      <c r="J40" t="s">
        <v>159</v>
      </c>
      <c r="K40" t="s">
        <v>34</v>
      </c>
      <c r="L40" t="s">
        <v>31</v>
      </c>
      <c r="M40" t="s">
        <v>32</v>
      </c>
      <c r="N40" t="s">
        <v>178</v>
      </c>
    </row>
    <row r="41" spans="1:14" x14ac:dyDescent="0.15">
      <c r="A41" t="s">
        <v>48</v>
      </c>
      <c r="B41" t="s">
        <v>35</v>
      </c>
      <c r="C41">
        <v>8.16</v>
      </c>
      <c r="D41">
        <v>2400</v>
      </c>
      <c r="E41">
        <v>8.15</v>
      </c>
      <c r="F41">
        <v>2400</v>
      </c>
      <c r="G41" t="s">
        <v>29</v>
      </c>
      <c r="H41" t="s">
        <v>179</v>
      </c>
      <c r="I41" t="s">
        <v>180</v>
      </c>
      <c r="J41" t="s">
        <v>49</v>
      </c>
      <c r="K41" t="s">
        <v>30</v>
      </c>
      <c r="L41" t="s">
        <v>31</v>
      </c>
      <c r="M41" t="s">
        <v>32</v>
      </c>
      <c r="N41" t="s">
        <v>181</v>
      </c>
    </row>
    <row r="42" spans="1:14" x14ac:dyDescent="0.15">
      <c r="A42" t="s">
        <v>156</v>
      </c>
      <c r="B42" t="s">
        <v>35</v>
      </c>
      <c r="C42">
        <v>16.38</v>
      </c>
      <c r="D42">
        <v>1200</v>
      </c>
      <c r="E42">
        <v>16.38</v>
      </c>
      <c r="F42">
        <v>1200</v>
      </c>
      <c r="G42" t="s">
        <v>29</v>
      </c>
      <c r="H42" t="s">
        <v>182</v>
      </c>
      <c r="I42" t="s">
        <v>183</v>
      </c>
      <c r="J42" t="s">
        <v>159</v>
      </c>
      <c r="K42" t="s">
        <v>34</v>
      </c>
      <c r="L42" t="s">
        <v>31</v>
      </c>
      <c r="M42" t="s">
        <v>32</v>
      </c>
      <c r="N42" t="s">
        <v>184</v>
      </c>
    </row>
    <row r="43" spans="1:14" x14ac:dyDescent="0.15">
      <c r="A43" t="s">
        <v>48</v>
      </c>
      <c r="B43" t="s">
        <v>35</v>
      </c>
      <c r="C43">
        <v>8.17</v>
      </c>
      <c r="D43">
        <v>2400</v>
      </c>
      <c r="E43">
        <v>8.16</v>
      </c>
      <c r="F43">
        <v>2400</v>
      </c>
      <c r="G43" t="s">
        <v>29</v>
      </c>
      <c r="H43" t="s">
        <v>185</v>
      </c>
      <c r="I43" t="s">
        <v>186</v>
      </c>
      <c r="J43" t="s">
        <v>49</v>
      </c>
      <c r="K43" t="s">
        <v>30</v>
      </c>
      <c r="L43" t="s">
        <v>31</v>
      </c>
      <c r="M43" t="s">
        <v>32</v>
      </c>
      <c r="N43" t="s">
        <v>187</v>
      </c>
    </row>
    <row r="44" spans="1:14" x14ac:dyDescent="0.15">
      <c r="A44" t="s">
        <v>58</v>
      </c>
      <c r="B44" t="s">
        <v>35</v>
      </c>
      <c r="C44">
        <v>26.01</v>
      </c>
      <c r="D44">
        <v>700</v>
      </c>
      <c r="E44">
        <v>26.01</v>
      </c>
      <c r="F44">
        <v>700</v>
      </c>
      <c r="G44" t="s">
        <v>29</v>
      </c>
      <c r="H44" t="s">
        <v>188</v>
      </c>
      <c r="I44" t="s">
        <v>189</v>
      </c>
      <c r="J44" t="s">
        <v>61</v>
      </c>
      <c r="K44" t="s">
        <v>30</v>
      </c>
      <c r="L44" t="s">
        <v>31</v>
      </c>
      <c r="M44" t="s">
        <v>32</v>
      </c>
      <c r="N44" t="s">
        <v>190</v>
      </c>
    </row>
    <row r="45" spans="1:14" x14ac:dyDescent="0.15">
      <c r="A45" t="s">
        <v>156</v>
      </c>
      <c r="B45" t="s">
        <v>35</v>
      </c>
      <c r="C45">
        <v>16.38</v>
      </c>
      <c r="D45">
        <v>1200</v>
      </c>
      <c r="E45">
        <v>16.38</v>
      </c>
      <c r="F45">
        <v>1200</v>
      </c>
      <c r="G45" t="s">
        <v>29</v>
      </c>
      <c r="H45" t="s">
        <v>191</v>
      </c>
      <c r="I45" t="s">
        <v>192</v>
      </c>
      <c r="J45" t="s">
        <v>159</v>
      </c>
      <c r="K45" t="s">
        <v>34</v>
      </c>
      <c r="L45" t="s">
        <v>31</v>
      </c>
      <c r="M45" t="s">
        <v>32</v>
      </c>
      <c r="N45" t="s">
        <v>193</v>
      </c>
    </row>
    <row r="46" spans="1:14" x14ac:dyDescent="0.15">
      <c r="A46" t="s">
        <v>156</v>
      </c>
      <c r="B46" t="s">
        <v>35</v>
      </c>
      <c r="C46">
        <v>16.399999999999999</v>
      </c>
      <c r="D46">
        <v>1200</v>
      </c>
      <c r="E46">
        <v>16.399999999999999</v>
      </c>
      <c r="F46">
        <v>1200</v>
      </c>
      <c r="G46" t="s">
        <v>29</v>
      </c>
      <c r="H46" t="s">
        <v>194</v>
      </c>
      <c r="I46" t="s">
        <v>195</v>
      </c>
      <c r="J46" t="s">
        <v>159</v>
      </c>
      <c r="K46" t="s">
        <v>34</v>
      </c>
      <c r="L46" t="s">
        <v>31</v>
      </c>
      <c r="M46" t="s">
        <v>32</v>
      </c>
      <c r="N46" t="s">
        <v>196</v>
      </c>
    </row>
    <row r="47" spans="1:14" x14ac:dyDescent="0.15">
      <c r="A47" t="s">
        <v>156</v>
      </c>
      <c r="B47" t="s">
        <v>35</v>
      </c>
      <c r="C47">
        <v>16.38</v>
      </c>
      <c r="D47">
        <v>1200</v>
      </c>
      <c r="E47">
        <v>16.38</v>
      </c>
      <c r="F47">
        <v>1200</v>
      </c>
      <c r="G47" t="s">
        <v>29</v>
      </c>
      <c r="H47" t="s">
        <v>197</v>
      </c>
      <c r="I47" t="s">
        <v>198</v>
      </c>
      <c r="J47" t="s">
        <v>159</v>
      </c>
      <c r="K47" t="s">
        <v>34</v>
      </c>
      <c r="L47" t="s">
        <v>31</v>
      </c>
      <c r="M47" t="s">
        <v>32</v>
      </c>
      <c r="N47" t="s">
        <v>199</v>
      </c>
    </row>
    <row r="48" spans="1:14" x14ac:dyDescent="0.15">
      <c r="A48" t="s">
        <v>48</v>
      </c>
      <c r="B48" t="s">
        <v>35</v>
      </c>
      <c r="C48">
        <v>8.15</v>
      </c>
      <c r="D48">
        <v>2400</v>
      </c>
      <c r="E48">
        <v>8.15</v>
      </c>
      <c r="F48">
        <v>2400</v>
      </c>
      <c r="G48" t="s">
        <v>29</v>
      </c>
      <c r="H48" t="s">
        <v>200</v>
      </c>
      <c r="I48" t="s">
        <v>201</v>
      </c>
      <c r="J48" t="s">
        <v>49</v>
      </c>
      <c r="K48" t="s">
        <v>30</v>
      </c>
      <c r="L48" t="s">
        <v>31</v>
      </c>
      <c r="M48" t="s">
        <v>32</v>
      </c>
      <c r="N48" t="s">
        <v>202</v>
      </c>
    </row>
    <row r="49" spans="1:15" x14ac:dyDescent="0.15">
      <c r="A49" t="s">
        <v>71</v>
      </c>
      <c r="B49" t="s">
        <v>35</v>
      </c>
      <c r="C49">
        <v>29.7</v>
      </c>
      <c r="D49">
        <v>600</v>
      </c>
      <c r="E49">
        <v>29.7</v>
      </c>
      <c r="F49">
        <v>600</v>
      </c>
      <c r="G49" t="s">
        <v>29</v>
      </c>
      <c r="H49" t="s">
        <v>203</v>
      </c>
      <c r="I49" t="s">
        <v>204</v>
      </c>
      <c r="J49" t="s">
        <v>74</v>
      </c>
      <c r="K49" t="s">
        <v>34</v>
      </c>
      <c r="L49" t="s">
        <v>31</v>
      </c>
      <c r="M49" t="s">
        <v>32</v>
      </c>
      <c r="N49" t="s">
        <v>205</v>
      </c>
    </row>
    <row r="50" spans="1:15" x14ac:dyDescent="0.15">
      <c r="A50" t="s">
        <v>46</v>
      </c>
      <c r="B50" t="s">
        <v>35</v>
      </c>
      <c r="C50">
        <v>31.61</v>
      </c>
      <c r="D50">
        <v>600</v>
      </c>
      <c r="E50">
        <v>31.61</v>
      </c>
      <c r="F50">
        <v>600</v>
      </c>
      <c r="G50" t="s">
        <v>29</v>
      </c>
      <c r="H50" t="s">
        <v>206</v>
      </c>
      <c r="I50" t="s">
        <v>207</v>
      </c>
      <c r="J50" t="s">
        <v>47</v>
      </c>
      <c r="K50" t="s">
        <v>30</v>
      </c>
      <c r="L50" t="s">
        <v>31</v>
      </c>
      <c r="M50" t="s">
        <v>32</v>
      </c>
      <c r="N50" t="s">
        <v>208</v>
      </c>
    </row>
    <row r="51" spans="1:15" x14ac:dyDescent="0.15">
      <c r="A51" t="s">
        <v>66</v>
      </c>
      <c r="B51" t="s">
        <v>35</v>
      </c>
      <c r="C51">
        <v>36.24</v>
      </c>
      <c r="D51">
        <v>500</v>
      </c>
      <c r="E51">
        <v>36.24</v>
      </c>
      <c r="F51">
        <v>500</v>
      </c>
      <c r="G51" t="s">
        <v>29</v>
      </c>
      <c r="H51" t="s">
        <v>209</v>
      </c>
      <c r="I51" t="s">
        <v>210</v>
      </c>
      <c r="J51" t="s">
        <v>69</v>
      </c>
      <c r="K51" t="s">
        <v>34</v>
      </c>
      <c r="L51" t="s">
        <v>31</v>
      </c>
      <c r="M51" t="s">
        <v>32</v>
      </c>
      <c r="N51" t="s">
        <v>211</v>
      </c>
      <c r="O51" s="7">
        <f>+E51*F51/36</f>
        <v>503.33333333333331</v>
      </c>
    </row>
    <row r="52" spans="1:15" x14ac:dyDescent="0.15">
      <c r="A52" t="s">
        <v>136</v>
      </c>
      <c r="B52" t="s">
        <v>35</v>
      </c>
      <c r="C52">
        <v>14.78</v>
      </c>
      <c r="D52">
        <v>2600</v>
      </c>
      <c r="E52">
        <v>14.78</v>
      </c>
      <c r="F52">
        <v>2600</v>
      </c>
      <c r="G52" t="s">
        <v>29</v>
      </c>
      <c r="H52" t="s">
        <v>212</v>
      </c>
      <c r="I52" t="s">
        <v>213</v>
      </c>
      <c r="J52" t="s">
        <v>139</v>
      </c>
      <c r="K52" t="s">
        <v>30</v>
      </c>
      <c r="L52" t="s">
        <v>31</v>
      </c>
      <c r="M52" t="s">
        <v>32</v>
      </c>
      <c r="N52" t="s">
        <v>214</v>
      </c>
    </row>
    <row r="53" spans="1:15" x14ac:dyDescent="0.15">
      <c r="A53" t="s">
        <v>58</v>
      </c>
      <c r="B53" t="s">
        <v>35</v>
      </c>
      <c r="C53">
        <v>26.05</v>
      </c>
      <c r="D53">
        <v>1500</v>
      </c>
      <c r="E53">
        <v>26.05</v>
      </c>
      <c r="F53">
        <v>1500</v>
      </c>
      <c r="G53" t="s">
        <v>29</v>
      </c>
      <c r="H53" t="s">
        <v>215</v>
      </c>
      <c r="I53" t="s">
        <v>216</v>
      </c>
      <c r="J53" t="s">
        <v>61</v>
      </c>
      <c r="K53" t="s">
        <v>30</v>
      </c>
      <c r="L53" t="s">
        <v>31</v>
      </c>
      <c r="M53" t="s">
        <v>32</v>
      </c>
      <c r="N53" t="s">
        <v>217</v>
      </c>
    </row>
    <row r="54" spans="1:15" x14ac:dyDescent="0.15">
      <c r="A54" t="s">
        <v>46</v>
      </c>
      <c r="B54" t="s">
        <v>35</v>
      </c>
      <c r="C54">
        <v>31.61</v>
      </c>
      <c r="D54">
        <v>1500</v>
      </c>
      <c r="E54">
        <v>31.61</v>
      </c>
      <c r="F54">
        <v>1500</v>
      </c>
      <c r="G54" t="s">
        <v>29</v>
      </c>
      <c r="H54" t="s">
        <v>218</v>
      </c>
      <c r="I54" t="s">
        <v>219</v>
      </c>
      <c r="J54" t="s">
        <v>47</v>
      </c>
      <c r="K54" t="s">
        <v>30</v>
      </c>
      <c r="L54" t="s">
        <v>31</v>
      </c>
      <c r="M54" t="s">
        <v>32</v>
      </c>
      <c r="N54" t="s">
        <v>220</v>
      </c>
    </row>
    <row r="55" spans="1:15" x14ac:dyDescent="0.15">
      <c r="A55" t="s">
        <v>46</v>
      </c>
      <c r="B55" t="s">
        <v>35</v>
      </c>
      <c r="C55">
        <v>31.58</v>
      </c>
      <c r="D55">
        <v>1500</v>
      </c>
      <c r="E55">
        <v>31.58</v>
      </c>
      <c r="F55">
        <v>1500</v>
      </c>
      <c r="G55" t="s">
        <v>29</v>
      </c>
      <c r="H55" t="s">
        <v>221</v>
      </c>
      <c r="I55" t="s">
        <v>222</v>
      </c>
      <c r="J55" t="s">
        <v>47</v>
      </c>
      <c r="K55" t="s">
        <v>30</v>
      </c>
      <c r="L55" t="s">
        <v>31</v>
      </c>
      <c r="M55" t="s">
        <v>32</v>
      </c>
      <c r="N55" t="s">
        <v>223</v>
      </c>
    </row>
    <row r="56" spans="1:15" x14ac:dyDescent="0.15">
      <c r="A56" t="s">
        <v>58</v>
      </c>
      <c r="B56" t="s">
        <v>35</v>
      </c>
      <c r="C56">
        <v>26.12</v>
      </c>
      <c r="D56">
        <v>2000</v>
      </c>
      <c r="E56">
        <v>26.11</v>
      </c>
      <c r="F56">
        <v>2000</v>
      </c>
      <c r="G56" t="s">
        <v>29</v>
      </c>
      <c r="H56" t="s">
        <v>224</v>
      </c>
      <c r="I56" t="s">
        <v>225</v>
      </c>
      <c r="J56" t="s">
        <v>61</v>
      </c>
      <c r="K56" t="s">
        <v>30</v>
      </c>
      <c r="L56" t="s">
        <v>31</v>
      </c>
      <c r="M56" t="s">
        <v>32</v>
      </c>
      <c r="N56" t="s">
        <v>226</v>
      </c>
    </row>
    <row r="57" spans="1:15" x14ac:dyDescent="0.15">
      <c r="A57" t="s">
        <v>46</v>
      </c>
      <c r="B57" t="s">
        <v>35</v>
      </c>
      <c r="C57">
        <v>31.56</v>
      </c>
      <c r="D57">
        <v>1500</v>
      </c>
      <c r="E57">
        <v>31.56</v>
      </c>
      <c r="F57">
        <v>1500</v>
      </c>
      <c r="G57" t="s">
        <v>29</v>
      </c>
      <c r="H57" t="s">
        <v>227</v>
      </c>
      <c r="I57" t="s">
        <v>228</v>
      </c>
      <c r="J57" t="s">
        <v>47</v>
      </c>
      <c r="K57" t="s">
        <v>30</v>
      </c>
      <c r="L57" t="s">
        <v>31</v>
      </c>
      <c r="M57" t="s">
        <v>32</v>
      </c>
      <c r="N57" t="s">
        <v>229</v>
      </c>
    </row>
    <row r="58" spans="1:15" x14ac:dyDescent="0.15">
      <c r="A58" t="s">
        <v>71</v>
      </c>
      <c r="B58" t="s">
        <v>35</v>
      </c>
      <c r="C58">
        <v>29.68</v>
      </c>
      <c r="D58">
        <v>1000</v>
      </c>
      <c r="E58">
        <v>29.68</v>
      </c>
      <c r="F58">
        <v>1000</v>
      </c>
      <c r="G58" t="s">
        <v>29</v>
      </c>
      <c r="H58" t="s">
        <v>230</v>
      </c>
      <c r="I58" t="s">
        <v>231</v>
      </c>
      <c r="J58" t="s">
        <v>74</v>
      </c>
      <c r="K58" t="s">
        <v>34</v>
      </c>
      <c r="L58" t="s">
        <v>31</v>
      </c>
      <c r="M58" t="s">
        <v>32</v>
      </c>
      <c r="N58" t="s">
        <v>232</v>
      </c>
    </row>
    <row r="59" spans="1:15" x14ac:dyDescent="0.15">
      <c r="A59" t="s">
        <v>71</v>
      </c>
      <c r="B59" t="s">
        <v>35</v>
      </c>
      <c r="C59">
        <v>29.69</v>
      </c>
      <c r="D59">
        <v>1000</v>
      </c>
      <c r="E59">
        <v>29.69</v>
      </c>
      <c r="F59">
        <v>1000</v>
      </c>
      <c r="G59" t="s">
        <v>29</v>
      </c>
      <c r="H59" t="s">
        <v>233</v>
      </c>
      <c r="I59" t="s">
        <v>234</v>
      </c>
      <c r="J59" t="s">
        <v>74</v>
      </c>
      <c r="K59" t="s">
        <v>34</v>
      </c>
      <c r="L59" t="s">
        <v>31</v>
      </c>
      <c r="M59" t="s">
        <v>32</v>
      </c>
      <c r="N59" t="s">
        <v>235</v>
      </c>
    </row>
    <row r="60" spans="1:15" x14ac:dyDescent="0.15">
      <c r="A60" t="s">
        <v>46</v>
      </c>
      <c r="B60" t="s">
        <v>35</v>
      </c>
      <c r="C60">
        <v>31.6</v>
      </c>
      <c r="D60">
        <v>600</v>
      </c>
      <c r="E60">
        <v>31.6</v>
      </c>
      <c r="F60">
        <v>600</v>
      </c>
      <c r="G60" t="s">
        <v>29</v>
      </c>
      <c r="H60" t="s">
        <v>236</v>
      </c>
      <c r="I60" t="s">
        <v>237</v>
      </c>
      <c r="J60" t="s">
        <v>47</v>
      </c>
      <c r="K60" t="s">
        <v>30</v>
      </c>
      <c r="L60" t="s">
        <v>31</v>
      </c>
      <c r="M60" t="s">
        <v>32</v>
      </c>
      <c r="N60" t="s">
        <v>238</v>
      </c>
    </row>
    <row r="61" spans="1:15" x14ac:dyDescent="0.15">
      <c r="A61" t="s">
        <v>46</v>
      </c>
      <c r="B61" t="s">
        <v>35</v>
      </c>
      <c r="C61">
        <v>31.61</v>
      </c>
      <c r="D61">
        <v>600</v>
      </c>
      <c r="E61">
        <v>31.61</v>
      </c>
      <c r="F61">
        <v>600</v>
      </c>
      <c r="G61" t="s">
        <v>29</v>
      </c>
      <c r="H61" t="s">
        <v>239</v>
      </c>
      <c r="I61" t="s">
        <v>240</v>
      </c>
      <c r="J61" t="s">
        <v>47</v>
      </c>
      <c r="K61" t="s">
        <v>30</v>
      </c>
      <c r="L61" t="s">
        <v>31</v>
      </c>
      <c r="M61" t="s">
        <v>32</v>
      </c>
      <c r="N61" t="s">
        <v>241</v>
      </c>
    </row>
    <row r="62" spans="1:15" x14ac:dyDescent="0.15">
      <c r="A62" t="s">
        <v>71</v>
      </c>
      <c r="B62" t="s">
        <v>35</v>
      </c>
      <c r="C62">
        <v>29.75</v>
      </c>
      <c r="D62">
        <v>600</v>
      </c>
      <c r="E62">
        <v>29.75</v>
      </c>
      <c r="F62">
        <v>600</v>
      </c>
      <c r="G62" t="s">
        <v>29</v>
      </c>
      <c r="H62" t="s">
        <v>242</v>
      </c>
      <c r="I62" t="s">
        <v>243</v>
      </c>
      <c r="J62" t="s">
        <v>74</v>
      </c>
      <c r="K62" t="s">
        <v>34</v>
      </c>
      <c r="L62" t="s">
        <v>31</v>
      </c>
      <c r="M62" t="s">
        <v>32</v>
      </c>
      <c r="N62" t="s">
        <v>244</v>
      </c>
    </row>
    <row r="63" spans="1:15" x14ac:dyDescent="0.15">
      <c r="A63" t="s">
        <v>66</v>
      </c>
      <c r="B63" t="s">
        <v>35</v>
      </c>
      <c r="C63">
        <v>36.229999999999997</v>
      </c>
      <c r="D63">
        <v>500</v>
      </c>
      <c r="E63">
        <v>36.229999999999997</v>
      </c>
      <c r="F63">
        <v>500</v>
      </c>
      <c r="G63" t="s">
        <v>29</v>
      </c>
      <c r="H63" t="s">
        <v>245</v>
      </c>
      <c r="I63" t="s">
        <v>246</v>
      </c>
      <c r="J63" t="s">
        <v>69</v>
      </c>
      <c r="K63" t="s">
        <v>34</v>
      </c>
      <c r="L63" t="s">
        <v>31</v>
      </c>
      <c r="M63" t="s">
        <v>32</v>
      </c>
      <c r="N63" t="s">
        <v>247</v>
      </c>
    </row>
    <row r="64" spans="1:15" x14ac:dyDescent="0.15">
      <c r="A64" t="s">
        <v>66</v>
      </c>
      <c r="B64" t="s">
        <v>35</v>
      </c>
      <c r="C64">
        <v>36.270000000000003</v>
      </c>
      <c r="D64">
        <v>500</v>
      </c>
      <c r="E64">
        <v>36.270000000000003</v>
      </c>
      <c r="F64">
        <v>500</v>
      </c>
      <c r="G64" t="s">
        <v>29</v>
      </c>
      <c r="H64" t="s">
        <v>248</v>
      </c>
      <c r="I64" t="s">
        <v>249</v>
      </c>
      <c r="J64" t="s">
        <v>69</v>
      </c>
      <c r="K64" t="s">
        <v>34</v>
      </c>
      <c r="L64" t="s">
        <v>31</v>
      </c>
      <c r="M64" t="s">
        <v>32</v>
      </c>
      <c r="N64" t="s">
        <v>250</v>
      </c>
    </row>
    <row r="65" spans="1:14" x14ac:dyDescent="0.15">
      <c r="A65" t="s">
        <v>66</v>
      </c>
      <c r="B65" t="s">
        <v>35</v>
      </c>
      <c r="C65">
        <v>36.299999999999997</v>
      </c>
      <c r="D65">
        <v>500</v>
      </c>
      <c r="E65">
        <v>36.299999999999997</v>
      </c>
      <c r="F65">
        <v>500</v>
      </c>
      <c r="G65" t="s">
        <v>29</v>
      </c>
      <c r="H65" t="s">
        <v>251</v>
      </c>
      <c r="I65" t="s">
        <v>252</v>
      </c>
      <c r="J65" t="s">
        <v>69</v>
      </c>
      <c r="K65" t="s">
        <v>34</v>
      </c>
      <c r="L65" t="s">
        <v>31</v>
      </c>
      <c r="M65" t="s">
        <v>32</v>
      </c>
      <c r="N65" t="s">
        <v>253</v>
      </c>
    </row>
    <row r="66" spans="1:14" x14ac:dyDescent="0.15">
      <c r="A66" t="s">
        <v>66</v>
      </c>
      <c r="B66" t="s">
        <v>35</v>
      </c>
      <c r="C66">
        <v>36.31</v>
      </c>
      <c r="D66">
        <v>500</v>
      </c>
      <c r="E66">
        <v>36.31</v>
      </c>
      <c r="F66">
        <v>500</v>
      </c>
      <c r="G66" t="s">
        <v>29</v>
      </c>
      <c r="H66" t="s">
        <v>254</v>
      </c>
      <c r="I66" t="s">
        <v>255</v>
      </c>
      <c r="J66" t="s">
        <v>69</v>
      </c>
      <c r="K66" t="s">
        <v>34</v>
      </c>
      <c r="L66" t="s">
        <v>31</v>
      </c>
      <c r="M66" t="s">
        <v>32</v>
      </c>
      <c r="N66" t="s">
        <v>256</v>
      </c>
    </row>
    <row r="67" spans="1:14" x14ac:dyDescent="0.15">
      <c r="A67" t="s">
        <v>66</v>
      </c>
      <c r="B67" t="s">
        <v>35</v>
      </c>
      <c r="C67">
        <v>36.299999999999997</v>
      </c>
      <c r="D67">
        <v>500</v>
      </c>
      <c r="E67">
        <v>36.299999999999997</v>
      </c>
      <c r="F67">
        <v>500</v>
      </c>
      <c r="G67" t="s">
        <v>29</v>
      </c>
      <c r="H67" t="s">
        <v>257</v>
      </c>
      <c r="I67" t="s">
        <v>258</v>
      </c>
      <c r="J67" t="s">
        <v>69</v>
      </c>
      <c r="K67" t="s">
        <v>34</v>
      </c>
      <c r="L67" t="s">
        <v>31</v>
      </c>
      <c r="M67" t="s">
        <v>32</v>
      </c>
      <c r="N67" t="s">
        <v>259</v>
      </c>
    </row>
    <row r="68" spans="1:14" x14ac:dyDescent="0.15">
      <c r="A68" t="s">
        <v>66</v>
      </c>
      <c r="B68" t="s">
        <v>35</v>
      </c>
      <c r="C68">
        <v>36.28</v>
      </c>
      <c r="D68">
        <v>500</v>
      </c>
      <c r="E68">
        <v>36.28</v>
      </c>
      <c r="F68">
        <v>500</v>
      </c>
      <c r="G68" t="s">
        <v>29</v>
      </c>
      <c r="H68" t="s">
        <v>260</v>
      </c>
      <c r="I68" t="s">
        <v>261</v>
      </c>
      <c r="J68" t="s">
        <v>69</v>
      </c>
      <c r="K68" t="s">
        <v>34</v>
      </c>
      <c r="L68" t="s">
        <v>31</v>
      </c>
      <c r="M68" t="s">
        <v>32</v>
      </c>
      <c r="N68" t="s">
        <v>262</v>
      </c>
    </row>
    <row r="69" spans="1:14" x14ac:dyDescent="0.15">
      <c r="A69" t="s">
        <v>66</v>
      </c>
      <c r="B69" t="s">
        <v>35</v>
      </c>
      <c r="C69">
        <v>36.340000000000003</v>
      </c>
      <c r="D69">
        <v>1000</v>
      </c>
      <c r="E69">
        <v>36.338999999999999</v>
      </c>
      <c r="F69">
        <v>1000</v>
      </c>
      <c r="G69" t="s">
        <v>29</v>
      </c>
      <c r="H69" t="s">
        <v>263</v>
      </c>
      <c r="I69" t="s">
        <v>264</v>
      </c>
      <c r="J69" t="s">
        <v>69</v>
      </c>
      <c r="K69" t="s">
        <v>34</v>
      </c>
      <c r="L69" t="s">
        <v>31</v>
      </c>
      <c r="M69" t="s">
        <v>32</v>
      </c>
      <c r="N69" t="s">
        <v>265</v>
      </c>
    </row>
    <row r="70" spans="1:14" x14ac:dyDescent="0.15">
      <c r="A70" t="s">
        <v>66</v>
      </c>
      <c r="B70" t="s">
        <v>35</v>
      </c>
      <c r="C70">
        <v>36.380000000000003</v>
      </c>
      <c r="D70">
        <v>500</v>
      </c>
      <c r="E70">
        <v>36.380000000000003</v>
      </c>
      <c r="F70">
        <v>500</v>
      </c>
      <c r="G70" t="s">
        <v>29</v>
      </c>
      <c r="H70" t="s">
        <v>266</v>
      </c>
      <c r="I70" t="s">
        <v>267</v>
      </c>
      <c r="J70" t="s">
        <v>69</v>
      </c>
      <c r="K70" t="s">
        <v>34</v>
      </c>
      <c r="L70" t="s">
        <v>31</v>
      </c>
      <c r="M70" t="s">
        <v>32</v>
      </c>
      <c r="N70" t="s">
        <v>268</v>
      </c>
    </row>
    <row r="71" spans="1:14" x14ac:dyDescent="0.15">
      <c r="A71" t="s">
        <v>66</v>
      </c>
      <c r="B71" t="s">
        <v>35</v>
      </c>
      <c r="C71">
        <v>36.43</v>
      </c>
      <c r="D71">
        <v>1000</v>
      </c>
      <c r="E71">
        <v>36.43</v>
      </c>
      <c r="F71">
        <v>1000</v>
      </c>
      <c r="G71" t="s">
        <v>29</v>
      </c>
      <c r="H71" t="s">
        <v>269</v>
      </c>
      <c r="I71" t="s">
        <v>270</v>
      </c>
      <c r="J71" t="s">
        <v>69</v>
      </c>
      <c r="K71" t="s">
        <v>34</v>
      </c>
      <c r="L71" t="s">
        <v>31</v>
      </c>
      <c r="M71" t="s">
        <v>32</v>
      </c>
      <c r="N71" t="s">
        <v>271</v>
      </c>
    </row>
    <row r="72" spans="1:14" x14ac:dyDescent="0.15">
      <c r="A72" t="s">
        <v>136</v>
      </c>
      <c r="B72" t="s">
        <v>35</v>
      </c>
      <c r="C72">
        <v>14.74</v>
      </c>
      <c r="D72">
        <v>1300</v>
      </c>
      <c r="E72">
        <v>14.74</v>
      </c>
      <c r="F72">
        <v>1300</v>
      </c>
      <c r="G72" t="s">
        <v>29</v>
      </c>
      <c r="H72" t="s">
        <v>272</v>
      </c>
      <c r="I72" t="s">
        <v>273</v>
      </c>
      <c r="J72" t="s">
        <v>139</v>
      </c>
      <c r="K72" t="s">
        <v>30</v>
      </c>
      <c r="L72" t="s">
        <v>31</v>
      </c>
      <c r="M72" t="s">
        <v>32</v>
      </c>
      <c r="N72" t="s">
        <v>274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42927</v>
      </c>
      <c r="B2" s="5" t="str">
        <f>'20161118 当日委托查询'!H2</f>
        <v>14:56:46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000651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-500</v>
      </c>
      <c r="L2" s="7">
        <v>1</v>
      </c>
      <c r="M2" s="7">
        <f>'20161118 当日委托查询'!E2</f>
        <v>41.53</v>
      </c>
    </row>
    <row r="3" spans="1:25" x14ac:dyDescent="0.15">
      <c r="A3" s="2">
        <f t="shared" ca="1" si="0"/>
        <v>42927</v>
      </c>
      <c r="B3" s="5" t="str">
        <f>'20161118 当日委托查询'!H3</f>
        <v>14:56:32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601225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-2300</v>
      </c>
      <c r="L3" s="7">
        <v>1</v>
      </c>
      <c r="M3" s="7">
        <f>'20161118 当日委托查询'!E3</f>
        <v>7.93</v>
      </c>
    </row>
    <row r="4" spans="1:25" x14ac:dyDescent="0.15">
      <c r="A4" s="2">
        <f t="shared" ca="1" si="0"/>
        <v>42927</v>
      </c>
      <c r="B4" s="5" t="str">
        <f>'20161118 当日委托查询'!H4</f>
        <v>14:56:05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601238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-1900</v>
      </c>
      <c r="L4" s="7">
        <v>1</v>
      </c>
      <c r="M4" s="7">
        <f>'20161118 当日委托查询'!E4</f>
        <v>25.9</v>
      </c>
    </row>
    <row r="5" spans="1:25" x14ac:dyDescent="0.15">
      <c r="A5" s="2">
        <f t="shared" ca="1" si="0"/>
        <v>42927</v>
      </c>
      <c r="B5" s="5" t="str">
        <f>'20161118 当日委托查询'!H5</f>
        <v>14:55:56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600104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-1400</v>
      </c>
      <c r="L5" s="7">
        <v>1</v>
      </c>
      <c r="M5" s="7">
        <f>'20161118 当日委托查询'!E5</f>
        <v>31.9</v>
      </c>
    </row>
    <row r="6" spans="1:25" x14ac:dyDescent="0.15">
      <c r="A6" s="2">
        <f t="shared" ca="1" si="0"/>
        <v>42927</v>
      </c>
      <c r="B6" s="5" t="str">
        <f>'20161118 当日委托查询'!H6</f>
        <v>14:55:48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002008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-1800</v>
      </c>
      <c r="L6" s="7">
        <v>1</v>
      </c>
      <c r="M6" s="7">
        <f>'20161118 当日委托查询'!E6</f>
        <v>36.15</v>
      </c>
    </row>
    <row r="7" spans="1:25" x14ac:dyDescent="0.15">
      <c r="A7" s="2">
        <f t="shared" ca="1" si="0"/>
        <v>42927</v>
      </c>
      <c r="B7" s="5" t="str">
        <f>'20161118 当日委托查询'!H7</f>
        <v>14:55:32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002415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-2800</v>
      </c>
      <c r="L7" s="7">
        <v>1</v>
      </c>
      <c r="M7" s="7">
        <f>'20161118 当日委托查询'!E7</f>
        <v>30.58</v>
      </c>
    </row>
    <row r="8" spans="1:25" x14ac:dyDescent="0.15">
      <c r="A8" s="2">
        <f t="shared" ca="1" si="0"/>
        <v>42927</v>
      </c>
      <c r="B8" s="5" t="str">
        <f>'20161118 当日委托查询'!H8</f>
        <v>14:55:05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600260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-200</v>
      </c>
      <c r="L8" s="7">
        <v>1</v>
      </c>
      <c r="M8" s="7">
        <f>'20161118 当日委托查询'!E8</f>
        <v>26.55</v>
      </c>
    </row>
    <row r="9" spans="1:25" x14ac:dyDescent="0.15">
      <c r="A9" s="2">
        <f t="shared" ca="1" si="0"/>
        <v>42927</v>
      </c>
      <c r="B9" s="5" t="str">
        <f>'20161118 当日委托查询'!H9</f>
        <v>14:54:47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002460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-200</v>
      </c>
      <c r="L9" s="7">
        <v>1</v>
      </c>
      <c r="M9" s="7">
        <f>'20161118 当日委托查询'!E9</f>
        <v>48.78</v>
      </c>
    </row>
    <row r="10" spans="1:25" x14ac:dyDescent="0.15">
      <c r="A10" s="2">
        <f t="shared" ca="1" si="0"/>
        <v>42927</v>
      </c>
      <c r="B10" s="5" t="str">
        <f>'20161118 当日委托查询'!H10</f>
        <v>14:54:38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600516</v>
      </c>
      <c r="I10" s="7" t="str">
        <f>IF('20161118 当日委托查询'!B10="卖出","S","B")</f>
        <v>S</v>
      </c>
      <c r="J10" s="7" t="s">
        <v>28</v>
      </c>
      <c r="K10" s="7">
        <f>IF(I10="S",-1*'20161118 当日委托查询'!F10,'20161118 当日委托查询'!F10)</f>
        <v>-600</v>
      </c>
      <c r="L10" s="7">
        <v>1</v>
      </c>
      <c r="M10" s="7">
        <f>'20161118 当日委托查询'!E10</f>
        <v>18.559999999999999</v>
      </c>
    </row>
    <row r="11" spans="1:25" x14ac:dyDescent="0.15">
      <c r="A11" s="2">
        <f t="shared" ca="1" si="0"/>
        <v>42927</v>
      </c>
      <c r="B11" s="5" t="str">
        <f>'20161118 当日委托查询'!H11</f>
        <v>14:54:16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600874</v>
      </c>
      <c r="I11" s="7" t="str">
        <f>IF('20161118 当日委托查询'!B11="卖出","S","B")</f>
        <v>S</v>
      </c>
      <c r="J11" s="7" t="s">
        <v>28</v>
      </c>
      <c r="K11" s="7">
        <f>IF(I11="S",-1*'20161118 当日委托查询'!F11,'20161118 当日委托查询'!F11)</f>
        <v>-1400</v>
      </c>
      <c r="L11" s="7">
        <v>1</v>
      </c>
      <c r="M11" s="7">
        <f>'20161118 当日委托查询'!E11</f>
        <v>17.95</v>
      </c>
    </row>
    <row r="12" spans="1:25" x14ac:dyDescent="0.15">
      <c r="A12" s="2">
        <f t="shared" ca="1" si="0"/>
        <v>42927</v>
      </c>
      <c r="B12" s="5" t="str">
        <f>'20161118 当日委托查询'!H12</f>
        <v>13:45:37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600260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700</v>
      </c>
      <c r="L12" s="7">
        <v>1</v>
      </c>
      <c r="M12" s="7">
        <f>'20161118 当日委托查询'!E12</f>
        <v>26.51</v>
      </c>
    </row>
    <row r="13" spans="1:25" x14ac:dyDescent="0.15">
      <c r="A13" s="2">
        <f t="shared" ca="1" si="0"/>
        <v>42927</v>
      </c>
      <c r="B13" s="5" t="str">
        <f>'20161118 当日委托查询'!H13</f>
        <v>13:45:23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600260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700</v>
      </c>
      <c r="L13" s="7">
        <v>1</v>
      </c>
      <c r="M13" s="7">
        <f>'20161118 当日委托查询'!E13</f>
        <v>26.48</v>
      </c>
    </row>
    <row r="14" spans="1:25" x14ac:dyDescent="0.15">
      <c r="A14" s="2">
        <f t="shared" ca="1" si="0"/>
        <v>42927</v>
      </c>
      <c r="B14" s="5" t="str">
        <f>'20161118 当日委托查询'!H14</f>
        <v>10:59:26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600104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600</v>
      </c>
      <c r="L14" s="7">
        <v>1</v>
      </c>
      <c r="M14" s="7">
        <f>'20161118 当日委托查询'!E14</f>
        <v>31.56</v>
      </c>
    </row>
    <row r="15" spans="1:25" x14ac:dyDescent="0.15">
      <c r="A15" s="2">
        <f t="shared" ca="1" si="0"/>
        <v>42927</v>
      </c>
      <c r="B15" s="5" t="str">
        <f>'20161118 当日委托查询'!H15</f>
        <v>10:58:49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600036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800</v>
      </c>
      <c r="L15" s="7">
        <v>1</v>
      </c>
      <c r="M15" s="7">
        <f>'20161118 当日委托查询'!E15</f>
        <v>23.7</v>
      </c>
    </row>
    <row r="16" spans="1:25" x14ac:dyDescent="0.15">
      <c r="A16" s="2">
        <f t="shared" ca="1" si="0"/>
        <v>42927</v>
      </c>
      <c r="B16" s="5" t="str">
        <f>'20161118 当日委托查询'!H16</f>
        <v>10:58:33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600260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700</v>
      </c>
      <c r="L16" s="7">
        <v>1</v>
      </c>
      <c r="M16" s="7">
        <f>'20161118 当日委托查询'!E16</f>
        <v>27.14</v>
      </c>
    </row>
    <row r="17" spans="1:13" x14ac:dyDescent="0.15">
      <c r="A17" s="2">
        <f t="shared" ca="1" si="0"/>
        <v>42927</v>
      </c>
      <c r="B17" s="5" t="str">
        <f>'20161118 当日委托查询'!H17</f>
        <v>10:58:11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600260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700</v>
      </c>
      <c r="L17" s="7">
        <v>1</v>
      </c>
      <c r="M17" s="7">
        <f>'20161118 当日委托查询'!E17</f>
        <v>27.18</v>
      </c>
    </row>
    <row r="18" spans="1:13" x14ac:dyDescent="0.15">
      <c r="A18" s="2">
        <f t="shared" ca="1" si="0"/>
        <v>42927</v>
      </c>
      <c r="B18" s="5" t="str">
        <f>'20161118 当日委托查询'!H18</f>
        <v>10:58:00</v>
      </c>
      <c r="C18" s="7" t="s">
        <v>25</v>
      </c>
      <c r="D18" s="7" t="s">
        <v>26</v>
      </c>
      <c r="E18" s="7" t="s">
        <v>27</v>
      </c>
      <c r="F18" s="7"/>
      <c r="G18" s="7"/>
      <c r="H18" s="7" t="str">
        <f>'20161118 当日委托查询'!J18</f>
        <v>600036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800</v>
      </c>
      <c r="L18" s="7">
        <v>1</v>
      </c>
      <c r="M18" s="7">
        <f>'20161118 当日委托查询'!E18</f>
        <v>23.7</v>
      </c>
    </row>
    <row r="19" spans="1:13" x14ac:dyDescent="0.15">
      <c r="A19" s="2">
        <f t="shared" ca="1" si="0"/>
        <v>42927</v>
      </c>
      <c r="B19" s="5" t="str">
        <f>'20161118 当日委托查询'!H19</f>
        <v>10:57:42</v>
      </c>
      <c r="C19" s="7" t="s">
        <v>25</v>
      </c>
      <c r="D19" s="7" t="s">
        <v>26</v>
      </c>
      <c r="E19" s="7" t="s">
        <v>27</v>
      </c>
      <c r="F19" s="7"/>
      <c r="G19" s="7"/>
      <c r="H19" s="7" t="str">
        <f>'20161118 当日委托查询'!J19</f>
        <v>600036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800</v>
      </c>
      <c r="L19" s="7">
        <v>1</v>
      </c>
      <c r="M19" s="7">
        <f>'20161118 当日委托查询'!E19</f>
        <v>23.71</v>
      </c>
    </row>
    <row r="20" spans="1:13" x14ac:dyDescent="0.15">
      <c r="A20" s="2">
        <f t="shared" ca="1" si="0"/>
        <v>42927</v>
      </c>
      <c r="B20" s="5" t="str">
        <f>'20161118 当日委托查询'!H20</f>
        <v>10:57:37</v>
      </c>
      <c r="C20" s="7" t="s">
        <v>25</v>
      </c>
      <c r="D20" s="7" t="s">
        <v>26</v>
      </c>
      <c r="E20" s="7" t="s">
        <v>27</v>
      </c>
      <c r="F20" s="7"/>
      <c r="G20" s="7"/>
      <c r="H20" s="7" t="str">
        <f>'20161118 当日委托查询'!J20</f>
        <v>600036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800</v>
      </c>
      <c r="L20" s="7">
        <v>1</v>
      </c>
      <c r="M20" s="7">
        <f>'20161118 当日委托查询'!E20</f>
        <v>23.71</v>
      </c>
    </row>
    <row r="21" spans="1:13" x14ac:dyDescent="0.15">
      <c r="A21" s="2">
        <f t="shared" ca="1" si="0"/>
        <v>42927</v>
      </c>
      <c r="B21" s="5" t="str">
        <f>'20161118 当日委托查询'!H21</f>
        <v>10:57:19</v>
      </c>
      <c r="C21" s="7" t="s">
        <v>25</v>
      </c>
      <c r="D21" s="7" t="s">
        <v>26</v>
      </c>
      <c r="E21" s="7" t="s">
        <v>27</v>
      </c>
      <c r="F21" s="7"/>
      <c r="G21" s="7"/>
      <c r="H21" s="7" t="str">
        <f>'20161118 当日委托查询'!J21</f>
        <v>600104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600</v>
      </c>
      <c r="L21" s="7">
        <v>1</v>
      </c>
      <c r="M21" s="7">
        <f>'20161118 当日委托查询'!E21</f>
        <v>31.56</v>
      </c>
    </row>
    <row r="22" spans="1:13" x14ac:dyDescent="0.15">
      <c r="A22" s="2">
        <f t="shared" ca="1" si="0"/>
        <v>42927</v>
      </c>
      <c r="B22" s="5" t="str">
        <f>'20161118 当日委托查询'!H22</f>
        <v>10:57:08</v>
      </c>
      <c r="C22" s="7" t="s">
        <v>25</v>
      </c>
      <c r="D22" s="7" t="s">
        <v>26</v>
      </c>
      <c r="E22" s="7" t="s">
        <v>27</v>
      </c>
      <c r="F22" s="7"/>
      <c r="G22" s="7"/>
      <c r="H22" s="7" t="str">
        <f>'20161118 当日委托查询'!J22</f>
        <v>002008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500</v>
      </c>
      <c r="L22" s="7">
        <v>1</v>
      </c>
      <c r="M22" s="7">
        <f>'20161118 当日委托查询'!E22</f>
        <v>36.17</v>
      </c>
    </row>
    <row r="23" spans="1:13" x14ac:dyDescent="0.15">
      <c r="A23" s="2">
        <f t="shared" ca="1" si="0"/>
        <v>42927</v>
      </c>
      <c r="B23" s="5" t="str">
        <f>'20161118 当日委托查询'!H23</f>
        <v>10:52:21</v>
      </c>
      <c r="C23" s="7" t="s">
        <v>25</v>
      </c>
      <c r="D23" s="7" t="s">
        <v>26</v>
      </c>
      <c r="E23" s="7" t="s">
        <v>27</v>
      </c>
      <c r="F23" s="7"/>
      <c r="G23" s="7"/>
      <c r="H23" s="7" t="str">
        <f>'20161118 当日委托查询'!J23</f>
        <v>002008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1000</v>
      </c>
      <c r="L23" s="7">
        <v>1</v>
      </c>
      <c r="M23" s="7">
        <f>'20161118 当日委托查询'!E23</f>
        <v>36.31</v>
      </c>
    </row>
    <row r="24" spans="1:13" x14ac:dyDescent="0.15">
      <c r="A24" s="2">
        <f t="shared" ca="1" si="0"/>
        <v>42927</v>
      </c>
      <c r="B24" s="5" t="str">
        <f>'20161118 当日委托查询'!H24</f>
        <v>10:49:47</v>
      </c>
      <c r="C24" s="7" t="s">
        <v>25</v>
      </c>
      <c r="D24" s="7" t="s">
        <v>26</v>
      </c>
      <c r="E24" s="7" t="s">
        <v>27</v>
      </c>
      <c r="F24" s="7"/>
      <c r="G24" s="7"/>
      <c r="H24" s="7" t="str">
        <f>'20161118 当日委托查询'!J24</f>
        <v>600874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1000</v>
      </c>
      <c r="L24" s="7">
        <v>1</v>
      </c>
      <c r="M24" s="7">
        <f>'20161118 当日委托查询'!E24</f>
        <v>18.97</v>
      </c>
    </row>
    <row r="25" spans="1:13" x14ac:dyDescent="0.15">
      <c r="A25" s="2">
        <f t="shared" ca="1" si="0"/>
        <v>42927</v>
      </c>
      <c r="B25" s="5" t="str">
        <f>'20161118 当日委托查询'!H25</f>
        <v>10:49:24</v>
      </c>
      <c r="C25" s="7" t="s">
        <v>25</v>
      </c>
      <c r="D25" s="7" t="s">
        <v>26</v>
      </c>
      <c r="E25" s="7" t="s">
        <v>27</v>
      </c>
      <c r="F25" s="7"/>
      <c r="G25" s="7"/>
      <c r="H25" s="7" t="str">
        <f>'20161118 当日委托查询'!J25</f>
        <v>601225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2400</v>
      </c>
      <c r="L25" s="7">
        <v>1</v>
      </c>
      <c r="M25" s="7">
        <f>'20161118 当日委托查询'!E25</f>
        <v>8.0500000000000007</v>
      </c>
    </row>
    <row r="26" spans="1:13" x14ac:dyDescent="0.15">
      <c r="A26" s="2">
        <f t="shared" ca="1" si="0"/>
        <v>42927</v>
      </c>
      <c r="B26" s="5" t="str">
        <f>'20161118 当日委托查询'!H26</f>
        <v>10:48:52</v>
      </c>
      <c r="C26" s="7" t="s">
        <v>25</v>
      </c>
      <c r="D26" s="7" t="s">
        <v>26</v>
      </c>
      <c r="E26" s="7" t="s">
        <v>27</v>
      </c>
      <c r="F26" s="7"/>
      <c r="G26" s="7"/>
      <c r="H26" s="7" t="str">
        <f>'20161118 当日委托查询'!J26</f>
        <v>002008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500</v>
      </c>
      <c r="L26" s="7">
        <v>1</v>
      </c>
      <c r="M26" s="7">
        <f>'20161118 当日委托查询'!E26</f>
        <v>36.299999999999997</v>
      </c>
    </row>
    <row r="27" spans="1:13" x14ac:dyDescent="0.15">
      <c r="A27" s="2">
        <f t="shared" ca="1" si="0"/>
        <v>42927</v>
      </c>
      <c r="B27" s="5" t="str">
        <f>'20161118 当日委托查询'!H27</f>
        <v>10:48:29</v>
      </c>
      <c r="C27" s="7" t="s">
        <v>25</v>
      </c>
      <c r="D27" s="7" t="s">
        <v>26</v>
      </c>
      <c r="E27" s="7" t="s">
        <v>27</v>
      </c>
      <c r="F27" s="7"/>
      <c r="G27" s="7"/>
      <c r="H27" s="7" t="str">
        <f>'20161118 当日委托查询'!J27</f>
        <v>002008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500</v>
      </c>
      <c r="L27" s="7">
        <v>1</v>
      </c>
      <c r="M27" s="7">
        <f>'20161118 当日委托查询'!E27</f>
        <v>36.308</v>
      </c>
    </row>
    <row r="28" spans="1:13" x14ac:dyDescent="0.15">
      <c r="A28" s="2">
        <f t="shared" ca="1" si="0"/>
        <v>42927</v>
      </c>
      <c r="B28" s="5" t="str">
        <f>'20161118 当日委托查询'!H28</f>
        <v>10:47:44</v>
      </c>
      <c r="C28" s="7" t="s">
        <v>25</v>
      </c>
      <c r="D28" s="7" t="s">
        <v>26</v>
      </c>
      <c r="E28" s="7" t="s">
        <v>27</v>
      </c>
      <c r="F28" s="7"/>
      <c r="G28" s="7"/>
      <c r="H28" s="7" t="str">
        <f>'20161118 当日委托查询'!J28</f>
        <v>600958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1300</v>
      </c>
      <c r="L28" s="7">
        <v>1</v>
      </c>
      <c r="M28" s="7">
        <f>'20161118 当日委托查询'!E28</f>
        <v>14.68</v>
      </c>
    </row>
    <row r="29" spans="1:13" x14ac:dyDescent="0.15">
      <c r="A29" s="2">
        <f t="shared" ca="1" si="0"/>
        <v>42927</v>
      </c>
      <c r="B29" s="5" t="str">
        <f>'20161118 当日委托查询'!H29</f>
        <v>10:47:27</v>
      </c>
      <c r="C29" s="7" t="s">
        <v>25</v>
      </c>
      <c r="D29" s="7" t="s">
        <v>26</v>
      </c>
      <c r="E29" s="7" t="s">
        <v>27</v>
      </c>
      <c r="F29" s="7"/>
      <c r="G29" s="7"/>
      <c r="H29" s="7" t="str">
        <f>'20161118 当日委托查询'!J29</f>
        <v>601238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700</v>
      </c>
      <c r="L29" s="7">
        <v>1</v>
      </c>
      <c r="M29" s="7">
        <f>'20161118 当日委托查询'!E29</f>
        <v>25.91</v>
      </c>
    </row>
    <row r="30" spans="1:13" x14ac:dyDescent="0.15">
      <c r="A30" s="2">
        <f t="shared" ca="1" si="0"/>
        <v>42927</v>
      </c>
      <c r="B30" s="5" t="str">
        <f>'20161118 当日委托查询'!H30</f>
        <v>10:47:16</v>
      </c>
      <c r="C30" s="7" t="s">
        <v>25</v>
      </c>
      <c r="D30" s="7" t="s">
        <v>26</v>
      </c>
      <c r="E30" s="7" t="s">
        <v>27</v>
      </c>
      <c r="F30" s="7"/>
      <c r="G30" s="7"/>
      <c r="H30" s="7" t="str">
        <f>'20161118 当日委托查询'!J30</f>
        <v>002008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500</v>
      </c>
      <c r="L30" s="7">
        <v>1</v>
      </c>
      <c r="M30" s="7">
        <f>'20161118 当日委托查询'!E30</f>
        <v>36.270000000000003</v>
      </c>
    </row>
    <row r="31" spans="1:13" x14ac:dyDescent="0.15">
      <c r="A31" s="2">
        <f t="shared" ca="1" si="0"/>
        <v>42927</v>
      </c>
      <c r="B31" s="5" t="str">
        <f>'20161118 当日委托查询'!H31</f>
        <v>10:00:49</v>
      </c>
      <c r="C31" s="7" t="s">
        <v>25</v>
      </c>
      <c r="D31" s="7" t="s">
        <v>26</v>
      </c>
      <c r="E31" s="7" t="s">
        <v>27</v>
      </c>
      <c r="F31" s="7"/>
      <c r="G31" s="7"/>
      <c r="H31" s="7" t="str">
        <f>'20161118 当日委托查询'!J31</f>
        <v>601238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700</v>
      </c>
      <c r="L31" s="7">
        <v>1</v>
      </c>
      <c r="M31" s="7">
        <f>'20161118 当日委托查询'!E31</f>
        <v>25.92</v>
      </c>
    </row>
    <row r="32" spans="1:13" x14ac:dyDescent="0.15">
      <c r="A32" s="2">
        <f t="shared" ca="1" si="0"/>
        <v>42927</v>
      </c>
      <c r="B32" s="5" t="str">
        <f>'20161118 当日委托查询'!H32</f>
        <v>10:00:34</v>
      </c>
      <c r="C32" s="7" t="s">
        <v>25</v>
      </c>
      <c r="D32" s="7" t="s">
        <v>26</v>
      </c>
      <c r="E32" s="7" t="s">
        <v>27</v>
      </c>
      <c r="F32" s="7"/>
      <c r="G32" s="7"/>
      <c r="H32" s="7" t="str">
        <f>'20161118 当日委托查询'!J32</f>
        <v>600104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600</v>
      </c>
      <c r="L32" s="7">
        <v>1</v>
      </c>
      <c r="M32" s="7">
        <f>'20161118 当日委托查询'!E32</f>
        <v>31.42</v>
      </c>
    </row>
    <row r="33" spans="1:13" x14ac:dyDescent="0.15">
      <c r="A33" s="2">
        <f t="shared" ca="1" si="0"/>
        <v>42927</v>
      </c>
      <c r="B33" s="5" t="str">
        <f>'20161118 当日委托查询'!H33</f>
        <v>09:59:43</v>
      </c>
      <c r="C33" s="7" t="s">
        <v>25</v>
      </c>
      <c r="D33" s="7" t="s">
        <v>26</v>
      </c>
      <c r="E33" s="7" t="s">
        <v>27</v>
      </c>
      <c r="F33" s="7"/>
      <c r="G33" s="7"/>
      <c r="H33" s="7" t="str">
        <f>'20161118 当日委托查询'!J33</f>
        <v>600104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600</v>
      </c>
      <c r="L33" s="7">
        <v>1</v>
      </c>
      <c r="M33" s="7">
        <f>'20161118 当日委托查询'!E33</f>
        <v>31.41</v>
      </c>
    </row>
    <row r="34" spans="1:13" x14ac:dyDescent="0.15">
      <c r="A34" s="2">
        <f t="shared" ca="1" si="0"/>
        <v>42927</v>
      </c>
      <c r="B34" s="5" t="str">
        <f>'20161118 当日委托查询'!H34</f>
        <v>09:59:29</v>
      </c>
      <c r="C34" s="7" t="s">
        <v>25</v>
      </c>
      <c r="D34" s="7" t="s">
        <v>26</v>
      </c>
      <c r="E34" s="7" t="s">
        <v>27</v>
      </c>
      <c r="F34" s="7"/>
      <c r="G34" s="7"/>
      <c r="H34" s="7" t="str">
        <f>'20161118 当日委托查询'!J34</f>
        <v>002050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1200</v>
      </c>
      <c r="L34" s="7">
        <v>1</v>
      </c>
      <c r="M34" s="7">
        <f>'20161118 当日委托查询'!E34</f>
        <v>16.34</v>
      </c>
    </row>
    <row r="35" spans="1:13" x14ac:dyDescent="0.15">
      <c r="A35" s="2">
        <f t="shared" ca="1" si="0"/>
        <v>42927</v>
      </c>
      <c r="B35" s="5" t="str">
        <f>'20161118 当日委托查询'!H35</f>
        <v>09:59:17</v>
      </c>
      <c r="C35" s="7" t="s">
        <v>25</v>
      </c>
      <c r="D35" s="7" t="s">
        <v>26</v>
      </c>
      <c r="E35" s="7" t="s">
        <v>27</v>
      </c>
      <c r="F35" s="7"/>
      <c r="G35" s="7"/>
      <c r="H35" s="7" t="str">
        <f>'20161118 当日委托查询'!J35</f>
        <v>601238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700</v>
      </c>
      <c r="L35" s="7">
        <v>1</v>
      </c>
      <c r="M35" s="7">
        <f>'20161118 当日委托查询'!E35</f>
        <v>25.94</v>
      </c>
    </row>
    <row r="36" spans="1:13" x14ac:dyDescent="0.15">
      <c r="A36" s="2">
        <f t="shared" ca="1" si="0"/>
        <v>42927</v>
      </c>
      <c r="B36" s="5" t="str">
        <f>'20161118 当日委托查询'!H36</f>
        <v>09:59:03</v>
      </c>
      <c r="C36" s="7" t="s">
        <v>25</v>
      </c>
      <c r="D36" s="7" t="s">
        <v>26</v>
      </c>
      <c r="E36" s="7" t="s">
        <v>27</v>
      </c>
      <c r="F36" s="7"/>
      <c r="G36" s="7"/>
      <c r="H36" s="7" t="str">
        <f>'20161118 当日委托查询'!J36</f>
        <v>600104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600</v>
      </c>
      <c r="L36" s="7">
        <v>1</v>
      </c>
      <c r="M36" s="7">
        <f>'20161118 当日委托查询'!E36</f>
        <v>31.39</v>
      </c>
    </row>
    <row r="37" spans="1:13" x14ac:dyDescent="0.15">
      <c r="A37" s="2">
        <f t="shared" ca="1" si="0"/>
        <v>42927</v>
      </c>
      <c r="B37" s="5" t="str">
        <f>'20161118 当日委托查询'!H37</f>
        <v>09:58:51</v>
      </c>
      <c r="C37" s="7" t="s">
        <v>25</v>
      </c>
      <c r="D37" s="7" t="s">
        <v>26</v>
      </c>
      <c r="E37" s="7" t="s">
        <v>27</v>
      </c>
      <c r="F37" s="7"/>
      <c r="G37" s="7"/>
      <c r="H37" s="7" t="str">
        <f>'20161118 当日委托查询'!J37</f>
        <v>600104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1200</v>
      </c>
      <c r="L37" s="7">
        <v>1</v>
      </c>
      <c r="M37" s="7">
        <f>'20161118 当日委托查询'!E37</f>
        <v>31.39</v>
      </c>
    </row>
    <row r="38" spans="1:13" x14ac:dyDescent="0.15">
      <c r="A38" s="2">
        <f t="shared" ca="1" si="0"/>
        <v>42927</v>
      </c>
      <c r="B38" s="5" t="str">
        <f>'20161118 当日委托查询'!H38</f>
        <v>09:57:33</v>
      </c>
      <c r="C38" s="7" t="s">
        <v>25</v>
      </c>
      <c r="D38" s="7" t="s">
        <v>26</v>
      </c>
      <c r="E38" s="7" t="s">
        <v>27</v>
      </c>
      <c r="F38" s="7"/>
      <c r="G38" s="7"/>
      <c r="H38" s="7" t="str">
        <f>'20161118 当日委托查询'!J38</f>
        <v>600958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1300</v>
      </c>
      <c r="L38" s="7">
        <v>1</v>
      </c>
      <c r="M38" s="7">
        <f>'20161118 当日委托查询'!E38</f>
        <v>14.73</v>
      </c>
    </row>
    <row r="39" spans="1:13" x14ac:dyDescent="0.15">
      <c r="A39" s="2">
        <f t="shared" ca="1" si="0"/>
        <v>42927</v>
      </c>
      <c r="B39" s="5" t="str">
        <f>'20161118 当日委托查询'!H39</f>
        <v>09:57:24</v>
      </c>
      <c r="C39" s="7" t="s">
        <v>25</v>
      </c>
      <c r="D39" s="7" t="s">
        <v>26</v>
      </c>
      <c r="E39" s="7" t="s">
        <v>27</v>
      </c>
      <c r="F39" s="7"/>
      <c r="G39" s="7"/>
      <c r="H39" s="7" t="str">
        <f>'20161118 当日委托查询'!J39</f>
        <v>601225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2400</v>
      </c>
      <c r="L39" s="7">
        <v>1</v>
      </c>
      <c r="M39" s="7">
        <f>'20161118 当日委托查询'!E39</f>
        <v>8.1300000000000008</v>
      </c>
    </row>
    <row r="40" spans="1:13" x14ac:dyDescent="0.15">
      <c r="A40" s="2">
        <f t="shared" ca="1" si="0"/>
        <v>42927</v>
      </c>
      <c r="B40" s="5" t="str">
        <f>'20161118 当日委托查询'!H40</f>
        <v>09:57:12</v>
      </c>
      <c r="C40" s="7" t="s">
        <v>25</v>
      </c>
      <c r="D40" s="7" t="s">
        <v>26</v>
      </c>
      <c r="E40" s="7" t="s">
        <v>27</v>
      </c>
      <c r="F40" s="7"/>
      <c r="G40" s="7"/>
      <c r="H40" s="7" t="str">
        <f>'20161118 当日委托查询'!J40</f>
        <v>002050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1200</v>
      </c>
      <c r="L40" s="7">
        <v>1</v>
      </c>
      <c r="M40" s="7">
        <f>'20161118 当日委托查询'!E40</f>
        <v>16.36</v>
      </c>
    </row>
    <row r="41" spans="1:13" x14ac:dyDescent="0.15">
      <c r="A41" s="2">
        <f t="shared" ca="1" si="0"/>
        <v>42927</v>
      </c>
      <c r="B41" s="5" t="str">
        <f>'20161118 当日委托查询'!H41</f>
        <v>09:56:11</v>
      </c>
      <c r="C41" s="7" t="s">
        <v>25</v>
      </c>
      <c r="D41" s="7" t="s">
        <v>26</v>
      </c>
      <c r="E41" s="7" t="s">
        <v>27</v>
      </c>
      <c r="F41" s="7"/>
      <c r="G41" s="7"/>
      <c r="H41" s="7" t="str">
        <f>'20161118 当日委托查询'!J41</f>
        <v>601225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2400</v>
      </c>
      <c r="L41" s="7">
        <v>1</v>
      </c>
      <c r="M41" s="7">
        <f>'20161118 当日委托查询'!E41</f>
        <v>8.15</v>
      </c>
    </row>
    <row r="42" spans="1:13" x14ac:dyDescent="0.15">
      <c r="A42" s="2">
        <f t="shared" ca="1" si="0"/>
        <v>42927</v>
      </c>
      <c r="B42" s="5" t="str">
        <f>'20161118 当日委托查询'!H42</f>
        <v>09:55:56</v>
      </c>
      <c r="C42" s="7" t="s">
        <v>25</v>
      </c>
      <c r="D42" s="7" t="s">
        <v>26</v>
      </c>
      <c r="E42" s="7" t="s">
        <v>27</v>
      </c>
      <c r="F42" s="7"/>
      <c r="G42" s="7"/>
      <c r="H42" s="7" t="str">
        <f>'20161118 当日委托查询'!J42</f>
        <v>002050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1200</v>
      </c>
      <c r="L42" s="7">
        <v>1</v>
      </c>
      <c r="M42" s="7">
        <f>'20161118 当日委托查询'!E42</f>
        <v>16.38</v>
      </c>
    </row>
    <row r="43" spans="1:13" x14ac:dyDescent="0.15">
      <c r="A43" s="2">
        <f t="shared" ca="1" si="0"/>
        <v>42927</v>
      </c>
      <c r="B43" s="5" t="str">
        <f>'20161118 当日委托查询'!H43</f>
        <v>09:55:47</v>
      </c>
      <c r="C43" s="7" t="s">
        <v>25</v>
      </c>
      <c r="D43" s="7" t="s">
        <v>26</v>
      </c>
      <c r="E43" s="7" t="s">
        <v>27</v>
      </c>
      <c r="F43" s="7"/>
      <c r="G43" s="7"/>
      <c r="H43" s="7" t="str">
        <f>'20161118 当日委托查询'!J43</f>
        <v>601225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2400</v>
      </c>
      <c r="L43" s="7">
        <v>1</v>
      </c>
      <c r="M43" s="7">
        <f>'20161118 当日委托查询'!E43</f>
        <v>8.16</v>
      </c>
    </row>
    <row r="44" spans="1:13" x14ac:dyDescent="0.15">
      <c r="A44" s="2">
        <f t="shared" ca="1" si="0"/>
        <v>42927</v>
      </c>
      <c r="B44" s="5" t="str">
        <f>'20161118 当日委托查询'!H44</f>
        <v>09:55:36</v>
      </c>
      <c r="C44" s="7" t="s">
        <v>25</v>
      </c>
      <c r="D44" s="7" t="s">
        <v>26</v>
      </c>
      <c r="E44" s="7" t="s">
        <v>27</v>
      </c>
      <c r="F44" s="7"/>
      <c r="G44" s="7"/>
      <c r="H44" s="7" t="str">
        <f>'20161118 当日委托查询'!J44</f>
        <v>601238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700</v>
      </c>
      <c r="L44" s="7">
        <v>1</v>
      </c>
      <c r="M44" s="7">
        <f>'20161118 当日委托查询'!E44</f>
        <v>26.01</v>
      </c>
    </row>
    <row r="45" spans="1:13" x14ac:dyDescent="0.15">
      <c r="A45" s="2">
        <f t="shared" ca="1" si="0"/>
        <v>42927</v>
      </c>
      <c r="B45" s="5" t="str">
        <f>'20161118 当日委托查询'!H45</f>
        <v>09:55:22</v>
      </c>
      <c r="C45" s="7" t="s">
        <v>25</v>
      </c>
      <c r="D45" s="7" t="s">
        <v>26</v>
      </c>
      <c r="E45" s="7" t="s">
        <v>27</v>
      </c>
      <c r="F45" s="7"/>
      <c r="G45" s="7"/>
      <c r="H45" s="7" t="str">
        <f>'20161118 当日委托查询'!J45</f>
        <v>002050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1200</v>
      </c>
      <c r="L45" s="7">
        <v>1</v>
      </c>
      <c r="M45" s="7">
        <f>'20161118 当日委托查询'!E45</f>
        <v>16.38</v>
      </c>
    </row>
    <row r="46" spans="1:13" x14ac:dyDescent="0.15">
      <c r="A46" s="2">
        <f t="shared" ca="1" si="0"/>
        <v>42927</v>
      </c>
      <c r="B46" s="5" t="str">
        <f>'20161118 当日委托查询'!H46</f>
        <v>09:54:32</v>
      </c>
      <c r="C46" s="7" t="s">
        <v>25</v>
      </c>
      <c r="D46" s="7" t="s">
        <v>26</v>
      </c>
      <c r="E46" s="7" t="s">
        <v>27</v>
      </c>
      <c r="F46" s="7"/>
      <c r="G46" s="7"/>
      <c r="H46" s="7" t="str">
        <f>'20161118 当日委托查询'!J46</f>
        <v>002050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1200</v>
      </c>
      <c r="L46" s="7">
        <v>1</v>
      </c>
      <c r="M46" s="7">
        <f>'20161118 当日委托查询'!E46</f>
        <v>16.399999999999999</v>
      </c>
    </row>
    <row r="47" spans="1:13" x14ac:dyDescent="0.15">
      <c r="A47" s="2">
        <f t="shared" ca="1" si="0"/>
        <v>42927</v>
      </c>
      <c r="B47" s="5" t="str">
        <f>'20161118 当日委托查询'!H47</f>
        <v>09:54:21</v>
      </c>
      <c r="C47" s="7" t="s">
        <v>25</v>
      </c>
      <c r="D47" s="7" t="s">
        <v>26</v>
      </c>
      <c r="E47" s="7" t="s">
        <v>27</v>
      </c>
      <c r="F47" s="7"/>
      <c r="G47" s="7"/>
      <c r="H47" s="7" t="str">
        <f>'20161118 当日委托查询'!J47</f>
        <v>002050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1200</v>
      </c>
      <c r="L47" s="7">
        <v>1</v>
      </c>
      <c r="M47" s="7">
        <f>'20161118 当日委托查询'!E47</f>
        <v>16.38</v>
      </c>
    </row>
    <row r="48" spans="1:13" x14ac:dyDescent="0.15">
      <c r="A48" s="2">
        <f t="shared" ca="1" si="0"/>
        <v>42927</v>
      </c>
      <c r="B48" s="5" t="str">
        <f>'20161118 当日委托查询'!H48</f>
        <v>09:54:04</v>
      </c>
      <c r="C48" s="7" t="s">
        <v>25</v>
      </c>
      <c r="D48" s="7" t="s">
        <v>26</v>
      </c>
      <c r="E48" s="7" t="s">
        <v>27</v>
      </c>
      <c r="F48" s="7"/>
      <c r="G48" s="7"/>
      <c r="H48" s="7" t="str">
        <f>'20161118 当日委托查询'!J48</f>
        <v>601225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2400</v>
      </c>
      <c r="L48" s="7">
        <v>1</v>
      </c>
      <c r="M48" s="7">
        <f>'20161118 当日委托查询'!E48</f>
        <v>8.15</v>
      </c>
    </row>
    <row r="49" spans="1:13" x14ac:dyDescent="0.15">
      <c r="A49" s="2">
        <f t="shared" ca="1" si="0"/>
        <v>42927</v>
      </c>
      <c r="B49" s="5" t="str">
        <f>'20161118 当日委托查询'!H49</f>
        <v>09:51:45</v>
      </c>
      <c r="C49" s="7" t="s">
        <v>25</v>
      </c>
      <c r="D49" s="7" t="s">
        <v>26</v>
      </c>
      <c r="E49" s="7" t="s">
        <v>27</v>
      </c>
      <c r="F49" s="7"/>
      <c r="G49" s="7"/>
      <c r="H49" s="7" t="str">
        <f>'20161118 当日委托查询'!J49</f>
        <v>002415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600</v>
      </c>
      <c r="L49" s="7">
        <v>1</v>
      </c>
      <c r="M49" s="7">
        <f>'20161118 当日委托查询'!E49</f>
        <v>29.7</v>
      </c>
    </row>
    <row r="50" spans="1:13" x14ac:dyDescent="0.15">
      <c r="A50" s="2">
        <f t="shared" ca="1" si="0"/>
        <v>42927</v>
      </c>
      <c r="B50" s="5" t="str">
        <f>'20161118 当日委托查询'!H50</f>
        <v>09:51:36</v>
      </c>
      <c r="C50" s="7" t="s">
        <v>25</v>
      </c>
      <c r="D50" s="7" t="s">
        <v>26</v>
      </c>
      <c r="E50" s="7" t="s">
        <v>27</v>
      </c>
      <c r="F50" s="7"/>
      <c r="G50" s="7"/>
      <c r="H50" s="7" t="str">
        <f>'20161118 当日委托查询'!J50</f>
        <v>600104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600</v>
      </c>
      <c r="L50" s="7">
        <v>1</v>
      </c>
      <c r="M50" s="7">
        <f>'20161118 当日委托查询'!E50</f>
        <v>31.61</v>
      </c>
    </row>
    <row r="51" spans="1:13" x14ac:dyDescent="0.15">
      <c r="A51" s="2">
        <f t="shared" ca="1" si="0"/>
        <v>42927</v>
      </c>
      <c r="B51" s="5" t="str">
        <f>'20161118 当日委托查询'!H51</f>
        <v>09:51:24</v>
      </c>
      <c r="C51" s="7" t="s">
        <v>25</v>
      </c>
      <c r="D51" s="7" t="s">
        <v>26</v>
      </c>
      <c r="E51" s="7" t="s">
        <v>27</v>
      </c>
      <c r="F51" s="7"/>
      <c r="G51" s="7"/>
      <c r="H51" s="7" t="str">
        <f>'20161118 当日委托查询'!J51</f>
        <v>002008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500</v>
      </c>
      <c r="L51" s="7">
        <v>1</v>
      </c>
      <c r="M51" s="7">
        <f>'20161118 当日委托查询'!E51</f>
        <v>36.24</v>
      </c>
    </row>
    <row r="52" spans="1:13" x14ac:dyDescent="0.15">
      <c r="A52" s="2">
        <f t="shared" ca="1" si="0"/>
        <v>42927</v>
      </c>
      <c r="B52" s="5" t="str">
        <f>'20161118 当日委托查询'!H52</f>
        <v>09:50:51</v>
      </c>
      <c r="C52" s="7" t="s">
        <v>25</v>
      </c>
      <c r="D52" s="7" t="s">
        <v>26</v>
      </c>
      <c r="E52" s="7" t="s">
        <v>27</v>
      </c>
      <c r="F52" s="7"/>
      <c r="G52" s="7"/>
      <c r="H52" s="7" t="str">
        <f>'20161118 当日委托查询'!J52</f>
        <v>600958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2600</v>
      </c>
      <c r="L52" s="7">
        <v>1</v>
      </c>
      <c r="M52" s="7">
        <f>'20161118 当日委托查询'!E52</f>
        <v>14.78</v>
      </c>
    </row>
    <row r="53" spans="1:13" x14ac:dyDescent="0.15">
      <c r="A53" s="2">
        <f t="shared" ca="1" si="0"/>
        <v>42927</v>
      </c>
      <c r="B53" s="5" t="str">
        <f>'20161118 当日委托查询'!H53</f>
        <v>09:50:29</v>
      </c>
      <c r="C53" s="7" t="s">
        <v>25</v>
      </c>
      <c r="D53" s="7" t="s">
        <v>26</v>
      </c>
      <c r="E53" s="7" t="s">
        <v>27</v>
      </c>
      <c r="F53" s="7"/>
      <c r="G53" s="7"/>
      <c r="H53" s="7" t="str">
        <f>'20161118 当日委托查询'!J53</f>
        <v>601238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1500</v>
      </c>
      <c r="L53" s="7">
        <v>1</v>
      </c>
      <c r="M53" s="7">
        <f>'20161118 当日委托查询'!E53</f>
        <v>26.05</v>
      </c>
    </row>
    <row r="54" spans="1:13" x14ac:dyDescent="0.15">
      <c r="A54" s="2">
        <f t="shared" ca="1" si="0"/>
        <v>42927</v>
      </c>
      <c r="B54" s="5" t="str">
        <f>'20161118 当日委托查询'!H54</f>
        <v>09:50:09</v>
      </c>
      <c r="C54" s="7" t="s">
        <v>25</v>
      </c>
      <c r="D54" s="7" t="s">
        <v>26</v>
      </c>
      <c r="E54" s="7" t="s">
        <v>27</v>
      </c>
      <c r="F54" s="7"/>
      <c r="G54" s="7"/>
      <c r="H54" s="7" t="str">
        <f>'20161118 当日委托查询'!J54</f>
        <v>600104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1500</v>
      </c>
      <c r="L54" s="7">
        <v>1</v>
      </c>
      <c r="M54" s="7">
        <f>'20161118 当日委托查询'!E54</f>
        <v>31.61</v>
      </c>
    </row>
    <row r="55" spans="1:13" x14ac:dyDescent="0.15">
      <c r="A55" s="2">
        <f t="shared" ca="1" si="0"/>
        <v>42927</v>
      </c>
      <c r="B55" s="5" t="str">
        <f>'20161118 当日委托查询'!H55</f>
        <v>09:48:49</v>
      </c>
      <c r="C55" s="7" t="s">
        <v>25</v>
      </c>
      <c r="D55" s="7" t="s">
        <v>26</v>
      </c>
      <c r="E55" s="7" t="s">
        <v>27</v>
      </c>
      <c r="F55" s="7"/>
      <c r="G55" s="7"/>
      <c r="H55" s="7" t="str">
        <f>'20161118 当日委托查询'!J55</f>
        <v>600104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1500</v>
      </c>
      <c r="L55" s="7">
        <v>1</v>
      </c>
      <c r="M55" s="7">
        <f>'20161118 当日委托查询'!E55</f>
        <v>31.58</v>
      </c>
    </row>
    <row r="56" spans="1:13" x14ac:dyDescent="0.15">
      <c r="A56" s="2">
        <f t="shared" ca="1" si="0"/>
        <v>42927</v>
      </c>
      <c r="B56" s="5" t="str">
        <f>'20161118 当日委托查询'!H56</f>
        <v>09:48:27</v>
      </c>
      <c r="C56" s="7" t="s">
        <v>25</v>
      </c>
      <c r="D56" s="7" t="s">
        <v>26</v>
      </c>
      <c r="E56" s="7" t="s">
        <v>27</v>
      </c>
      <c r="F56" s="7"/>
      <c r="G56" s="7"/>
      <c r="H56" s="7" t="str">
        <f>'20161118 当日委托查询'!J56</f>
        <v>601238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2000</v>
      </c>
      <c r="L56" s="7">
        <v>1</v>
      </c>
      <c r="M56" s="7">
        <f>'20161118 当日委托查询'!E56</f>
        <v>26.11</v>
      </c>
    </row>
    <row r="57" spans="1:13" x14ac:dyDescent="0.15">
      <c r="A57" s="2">
        <f t="shared" ca="1" si="0"/>
        <v>42927</v>
      </c>
      <c r="B57" s="5" t="str">
        <f>'20161118 当日委托查询'!H57</f>
        <v>09:48:14</v>
      </c>
      <c r="C57" s="7" t="s">
        <v>25</v>
      </c>
      <c r="D57" s="7" t="s">
        <v>26</v>
      </c>
      <c r="E57" s="7" t="s">
        <v>27</v>
      </c>
      <c r="F57" s="7"/>
      <c r="G57" s="7"/>
      <c r="H57" s="7" t="str">
        <f>'20161118 当日委托查询'!J57</f>
        <v>600104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1500</v>
      </c>
      <c r="L57" s="7">
        <v>1</v>
      </c>
      <c r="M57" s="7">
        <f>'20161118 当日委托查询'!E57</f>
        <v>31.56</v>
      </c>
    </row>
    <row r="58" spans="1:13" x14ac:dyDescent="0.15">
      <c r="A58" s="2">
        <f t="shared" ca="1" si="0"/>
        <v>42927</v>
      </c>
      <c r="B58" s="5" t="str">
        <f>'20161118 当日委托查询'!H58</f>
        <v>09:48:02</v>
      </c>
      <c r="C58" s="7" t="s">
        <v>25</v>
      </c>
      <c r="D58" s="7" t="s">
        <v>26</v>
      </c>
      <c r="E58" s="7" t="s">
        <v>27</v>
      </c>
      <c r="F58" s="7"/>
      <c r="G58" s="7"/>
      <c r="H58" s="7" t="str">
        <f>'20161118 当日委托查询'!J58</f>
        <v>002415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1000</v>
      </c>
      <c r="L58" s="7">
        <v>1</v>
      </c>
      <c r="M58" s="7">
        <f>'20161118 当日委托查询'!E58</f>
        <v>29.68</v>
      </c>
    </row>
    <row r="59" spans="1:13" x14ac:dyDescent="0.15">
      <c r="A59" s="2">
        <f t="shared" ca="1" si="0"/>
        <v>42927</v>
      </c>
      <c r="B59" s="5" t="str">
        <f>'20161118 当日委托查询'!H59</f>
        <v>09:47:42</v>
      </c>
      <c r="C59" s="7" t="s">
        <v>25</v>
      </c>
      <c r="D59" s="7" t="s">
        <v>26</v>
      </c>
      <c r="E59" s="7" t="s">
        <v>27</v>
      </c>
      <c r="F59" s="7"/>
      <c r="G59" s="7"/>
      <c r="H59" s="7" t="str">
        <f>'20161118 当日委托查询'!J59</f>
        <v>002415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1000</v>
      </c>
      <c r="L59" s="7">
        <v>1</v>
      </c>
      <c r="M59" s="7">
        <f>'20161118 当日委托查询'!E59</f>
        <v>29.69</v>
      </c>
    </row>
    <row r="60" spans="1:13" x14ac:dyDescent="0.15">
      <c r="A60" s="2">
        <f t="shared" ca="1" si="0"/>
        <v>42927</v>
      </c>
      <c r="B60" s="5" t="str">
        <f>'20161118 当日委托查询'!H60</f>
        <v>09:47:08</v>
      </c>
      <c r="C60" s="7" t="s">
        <v>25</v>
      </c>
      <c r="D60" s="7" t="s">
        <v>26</v>
      </c>
      <c r="E60" s="7" t="s">
        <v>27</v>
      </c>
      <c r="F60" s="7"/>
      <c r="G60" s="7"/>
      <c r="H60" s="7" t="str">
        <f>'20161118 当日委托查询'!J60</f>
        <v>600104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600</v>
      </c>
      <c r="L60" s="7">
        <v>1</v>
      </c>
      <c r="M60" s="7">
        <f>'20161118 当日委托查询'!E60</f>
        <v>31.6</v>
      </c>
    </row>
    <row r="61" spans="1:13" x14ac:dyDescent="0.15">
      <c r="A61" s="2">
        <f t="shared" ca="1" si="0"/>
        <v>42927</v>
      </c>
      <c r="B61" s="5" t="str">
        <f>'20161118 当日委托查询'!H61</f>
        <v>09:46:54</v>
      </c>
      <c r="C61" s="7" t="s">
        <v>25</v>
      </c>
      <c r="D61" s="7" t="s">
        <v>26</v>
      </c>
      <c r="E61" s="7" t="s">
        <v>27</v>
      </c>
      <c r="F61" s="7"/>
      <c r="G61" s="7"/>
      <c r="H61" s="7" t="str">
        <f>'20161118 当日委托查询'!J61</f>
        <v>600104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600</v>
      </c>
      <c r="L61" s="7">
        <v>1</v>
      </c>
      <c r="M61" s="7">
        <f>'20161118 当日委托查询'!E61</f>
        <v>31.61</v>
      </c>
    </row>
    <row r="62" spans="1:13" x14ac:dyDescent="0.15">
      <c r="A62" s="2">
        <f t="shared" ca="1" si="0"/>
        <v>42927</v>
      </c>
      <c r="B62" s="5" t="str">
        <f>'20161118 当日委托查询'!H62</f>
        <v>09:46:33</v>
      </c>
      <c r="C62" s="7" t="s">
        <v>25</v>
      </c>
      <c r="D62" s="7" t="s">
        <v>26</v>
      </c>
      <c r="E62" s="7" t="s">
        <v>27</v>
      </c>
      <c r="F62" s="7"/>
      <c r="G62" s="7"/>
      <c r="H62" s="7" t="str">
        <f>'20161118 当日委托查询'!J62</f>
        <v>002415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600</v>
      </c>
      <c r="L62" s="7">
        <v>1</v>
      </c>
      <c r="M62" s="7">
        <f>'20161118 当日委托查询'!E62</f>
        <v>29.75</v>
      </c>
    </row>
    <row r="63" spans="1:13" x14ac:dyDescent="0.15">
      <c r="A63" s="2">
        <f t="shared" ca="1" si="0"/>
        <v>42927</v>
      </c>
      <c r="B63" s="5" t="str">
        <f>'20161118 当日委托查询'!H63</f>
        <v>09:46:15</v>
      </c>
      <c r="C63" s="7" t="s">
        <v>25</v>
      </c>
      <c r="D63" s="7" t="s">
        <v>26</v>
      </c>
      <c r="E63" s="7" t="s">
        <v>27</v>
      </c>
      <c r="F63" s="7"/>
      <c r="G63" s="7"/>
      <c r="H63" s="7" t="str">
        <f>'20161118 当日委托查询'!J63</f>
        <v>002008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500</v>
      </c>
      <c r="L63" s="7">
        <v>1</v>
      </c>
      <c r="M63" s="7">
        <f>'20161118 当日委托查询'!E63</f>
        <v>36.229999999999997</v>
      </c>
    </row>
    <row r="64" spans="1:13" x14ac:dyDescent="0.15">
      <c r="A64" s="2">
        <f t="shared" ca="1" si="0"/>
        <v>42927</v>
      </c>
      <c r="B64" s="5" t="str">
        <f>'20161118 当日委托查询'!H64</f>
        <v>09:44:33</v>
      </c>
      <c r="C64" s="7" t="s">
        <v>25</v>
      </c>
      <c r="D64" s="7" t="s">
        <v>26</v>
      </c>
      <c r="E64" s="7" t="s">
        <v>27</v>
      </c>
      <c r="F64" s="7"/>
      <c r="G64" s="7"/>
      <c r="H64" s="7" t="str">
        <f>'20161118 当日委托查询'!J64</f>
        <v>002008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500</v>
      </c>
      <c r="L64" s="7">
        <v>1</v>
      </c>
      <c r="M64" s="7">
        <f>'20161118 当日委托查询'!E64</f>
        <v>36.270000000000003</v>
      </c>
    </row>
    <row r="65" spans="1:13" x14ac:dyDescent="0.15">
      <c r="A65" s="2">
        <f t="shared" ca="1" si="0"/>
        <v>42927</v>
      </c>
      <c r="B65" s="5" t="str">
        <f>'20161118 当日委托查询'!H65</f>
        <v>09:44:11</v>
      </c>
      <c r="C65" s="7" t="s">
        <v>25</v>
      </c>
      <c r="D65" s="7" t="s">
        <v>26</v>
      </c>
      <c r="E65" s="7" t="s">
        <v>27</v>
      </c>
      <c r="F65" s="7"/>
      <c r="G65" s="7"/>
      <c r="H65" s="7" t="str">
        <f>'20161118 当日委托查询'!J65</f>
        <v>002008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500</v>
      </c>
      <c r="L65" s="7">
        <v>1</v>
      </c>
      <c r="M65" s="7">
        <f>'20161118 当日委托查询'!E65</f>
        <v>36.299999999999997</v>
      </c>
    </row>
    <row r="66" spans="1:13" x14ac:dyDescent="0.15">
      <c r="A66" s="2">
        <f t="shared" ref="A66:A77" ca="1" si="1">TODAY()</f>
        <v>42927</v>
      </c>
      <c r="B66" s="5" t="str">
        <f>'20161118 当日委托查询'!H66</f>
        <v>09:43:59</v>
      </c>
      <c r="C66" s="7" t="s">
        <v>25</v>
      </c>
      <c r="D66" s="7" t="s">
        <v>26</v>
      </c>
      <c r="E66" s="7" t="s">
        <v>27</v>
      </c>
      <c r="F66" s="7"/>
      <c r="G66" s="7"/>
      <c r="H66" s="7" t="str">
        <f>'20161118 当日委托查询'!J66</f>
        <v>002008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500</v>
      </c>
      <c r="L66" s="7">
        <v>1</v>
      </c>
      <c r="M66" s="7">
        <f>'20161118 当日委托查询'!E66</f>
        <v>36.31</v>
      </c>
    </row>
    <row r="67" spans="1:13" x14ac:dyDescent="0.15">
      <c r="A67" s="2">
        <f t="shared" ca="1" si="1"/>
        <v>42927</v>
      </c>
      <c r="B67" s="5" t="str">
        <f>'20161118 当日委托查询'!H67</f>
        <v>09:43:39</v>
      </c>
      <c r="C67" s="7" t="s">
        <v>25</v>
      </c>
      <c r="D67" s="7" t="s">
        <v>26</v>
      </c>
      <c r="E67" s="7" t="s">
        <v>27</v>
      </c>
      <c r="F67" s="7"/>
      <c r="G67" s="7"/>
      <c r="H67" s="7" t="str">
        <f>'20161118 当日委托查询'!J67</f>
        <v>002008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500</v>
      </c>
      <c r="L67" s="7">
        <v>1</v>
      </c>
      <c r="M67" s="7">
        <f>'20161118 当日委托查询'!E67</f>
        <v>36.299999999999997</v>
      </c>
    </row>
    <row r="68" spans="1:13" x14ac:dyDescent="0.15">
      <c r="A68" s="2">
        <f t="shared" ca="1" si="1"/>
        <v>42927</v>
      </c>
      <c r="B68" s="5" t="str">
        <f>'20161118 当日委托查询'!H68</f>
        <v>09:43:25</v>
      </c>
      <c r="C68" s="7" t="s">
        <v>25</v>
      </c>
      <c r="D68" s="7" t="s">
        <v>26</v>
      </c>
      <c r="E68" s="7" t="s">
        <v>27</v>
      </c>
      <c r="F68" s="7"/>
      <c r="G68" s="7"/>
      <c r="H68" s="7" t="str">
        <f>'20161118 当日委托查询'!J68</f>
        <v>002008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500</v>
      </c>
      <c r="L68" s="7">
        <v>1</v>
      </c>
      <c r="M68" s="7">
        <f>'20161118 当日委托查询'!E68</f>
        <v>36.28</v>
      </c>
    </row>
    <row r="69" spans="1:13" x14ac:dyDescent="0.15">
      <c r="A69" s="2">
        <f t="shared" ca="1" si="1"/>
        <v>42927</v>
      </c>
      <c r="B69" s="5" t="str">
        <f>'20161118 当日委托查询'!H69</f>
        <v>09:42:50</v>
      </c>
      <c r="C69" s="7" t="s">
        <v>25</v>
      </c>
      <c r="D69" s="7" t="s">
        <v>26</v>
      </c>
      <c r="E69" s="7" t="s">
        <v>27</v>
      </c>
      <c r="F69" s="7"/>
      <c r="G69" s="7"/>
      <c r="H69" s="7" t="str">
        <f>'20161118 当日委托查询'!J69</f>
        <v>002008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1000</v>
      </c>
      <c r="L69" s="7">
        <v>1</v>
      </c>
      <c r="M69" s="7">
        <f>'20161118 当日委托查询'!E69</f>
        <v>36.338999999999999</v>
      </c>
    </row>
    <row r="70" spans="1:13" x14ac:dyDescent="0.15">
      <c r="A70" s="2">
        <f t="shared" ca="1" si="1"/>
        <v>42927</v>
      </c>
      <c r="B70" s="5" t="str">
        <f>'20161118 当日委托查询'!H70</f>
        <v>09:42:09</v>
      </c>
      <c r="C70" s="7" t="s">
        <v>25</v>
      </c>
      <c r="D70" s="7" t="s">
        <v>26</v>
      </c>
      <c r="E70" s="7" t="s">
        <v>27</v>
      </c>
      <c r="F70" s="7"/>
      <c r="G70" s="7"/>
      <c r="H70" s="7" t="str">
        <f>'20161118 当日委托查询'!J70</f>
        <v>002008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500</v>
      </c>
      <c r="L70" s="7">
        <v>1</v>
      </c>
      <c r="M70" s="7">
        <f>'20161118 当日委托查询'!E70</f>
        <v>36.380000000000003</v>
      </c>
    </row>
    <row r="71" spans="1:13" x14ac:dyDescent="0.15">
      <c r="A71" s="2">
        <f t="shared" ca="1" si="1"/>
        <v>42927</v>
      </c>
      <c r="B71" s="5" t="str">
        <f>'20161118 当日委托查询'!H71</f>
        <v>09:41:45</v>
      </c>
      <c r="C71" s="7" t="s">
        <v>25</v>
      </c>
      <c r="D71" s="7" t="s">
        <v>26</v>
      </c>
      <c r="E71" s="7" t="s">
        <v>27</v>
      </c>
      <c r="F71" s="7"/>
      <c r="G71" s="7"/>
      <c r="H71" s="7" t="str">
        <f>'20161118 当日委托查询'!J71</f>
        <v>002008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1000</v>
      </c>
      <c r="L71" s="7">
        <v>1</v>
      </c>
      <c r="M71" s="7">
        <f>'20161118 当日委托查询'!E71</f>
        <v>36.43</v>
      </c>
    </row>
    <row r="72" spans="1:13" x14ac:dyDescent="0.15">
      <c r="A72" s="2">
        <f t="shared" ca="1" si="1"/>
        <v>42927</v>
      </c>
      <c r="B72" s="5" t="str">
        <f>'20161118 当日委托查询'!H72</f>
        <v>09:39:38</v>
      </c>
      <c r="C72" s="7" t="s">
        <v>25</v>
      </c>
      <c r="D72" s="7" t="s">
        <v>26</v>
      </c>
      <c r="E72" s="7" t="s">
        <v>27</v>
      </c>
      <c r="F72" s="7"/>
      <c r="G72" s="7"/>
      <c r="H72" s="7" t="str">
        <f>'20161118 当日委托查询'!J72</f>
        <v>600958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1300</v>
      </c>
      <c r="L72" s="7">
        <v>1</v>
      </c>
      <c r="M72" s="7">
        <f>'20161118 当日委托查询'!E72</f>
        <v>14.74</v>
      </c>
    </row>
    <row r="73" spans="1:13" x14ac:dyDescent="0.15">
      <c r="A73" s="2">
        <f t="shared" ca="1" si="1"/>
        <v>42927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42927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42927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42927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42927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2017-07-11T07:23:35Z</dcterms:modified>
</cp:coreProperties>
</file>