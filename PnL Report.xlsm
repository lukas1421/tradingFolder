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20" windowWidth="16605" windowHeight="919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当日委托查询'!$A$1:$O$25</definedName>
    <definedName name="_xlnm._FilterDatabase" localSheetId="1" hidden="1">Main!$A$1:$Y$40</definedName>
  </definedNames>
  <calcPr calcId="145621"/>
</workbook>
</file>

<file path=xl/calcChain.xml><?xml version="1.0" encoding="utf-8"?>
<calcChain xmlns="http://schemas.openxmlformats.org/spreadsheetml/2006/main">
  <c r="A10" i="4" l="1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/>
  <c r="M12" i="4"/>
  <c r="A13" i="4"/>
  <c r="B13" i="4"/>
  <c r="H13" i="4"/>
  <c r="I13" i="4"/>
  <c r="K13" i="4" s="1"/>
  <c r="M13" i="4"/>
  <c r="A14" i="4"/>
  <c r="B14" i="4"/>
  <c r="H14" i="4"/>
  <c r="I14" i="4"/>
  <c r="K14" i="4"/>
  <c r="M14" i="4"/>
  <c r="A15" i="4"/>
  <c r="B15" i="4"/>
  <c r="H15" i="4"/>
  <c r="I15" i="4"/>
  <c r="K15" i="4" s="1"/>
  <c r="M15" i="4"/>
  <c r="A16" i="4"/>
  <c r="B16" i="4"/>
  <c r="H16" i="4"/>
  <c r="I16" i="4"/>
  <c r="K16" i="4"/>
  <c r="M16" i="4"/>
  <c r="A17" i="4"/>
  <c r="B17" i="4"/>
  <c r="H17" i="4"/>
  <c r="I17" i="4"/>
  <c r="K17" i="4" s="1"/>
  <c r="M17" i="4"/>
  <c r="A18" i="4"/>
  <c r="B18" i="4"/>
  <c r="H18" i="4"/>
  <c r="I18" i="4"/>
  <c r="K18" i="4"/>
  <c r="M18" i="4"/>
  <c r="A19" i="4"/>
  <c r="B19" i="4"/>
  <c r="H19" i="4"/>
  <c r="I19" i="4"/>
  <c r="K19" i="4" s="1"/>
  <c r="M19" i="4"/>
  <c r="A20" i="4"/>
  <c r="B20" i="4"/>
  <c r="H20" i="4"/>
  <c r="I20" i="4"/>
  <c r="K20" i="4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/>
  <c r="M24" i="4"/>
  <c r="A25" i="4"/>
  <c r="B25" i="4"/>
  <c r="H25" i="4"/>
  <c r="I25" i="4"/>
  <c r="K25" i="4" s="1"/>
  <c r="M25" i="4"/>
  <c r="A26" i="4"/>
  <c r="B26" i="4"/>
  <c r="H26" i="4"/>
  <c r="I26" i="4"/>
  <c r="K26" i="4"/>
  <c r="M26" i="4"/>
  <c r="A27" i="4"/>
  <c r="B27" i="4"/>
  <c r="H27" i="4"/>
  <c r="I27" i="4"/>
  <c r="K27" i="4" s="1"/>
  <c r="M27" i="4"/>
  <c r="A28" i="4"/>
  <c r="B28" i="4"/>
  <c r="H28" i="4"/>
  <c r="I28" i="4"/>
  <c r="K28" i="4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A78" i="4"/>
  <c r="B78" i="4"/>
  <c r="H78" i="4"/>
  <c r="I78" i="4"/>
  <c r="K78" i="4"/>
  <c r="M78" i="4"/>
  <c r="O19" i="1" l="1"/>
  <c r="O31" i="1" l="1"/>
  <c r="O52" i="1" l="1"/>
  <c r="A5" i="4" l="1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3" i="4" l="1"/>
  <c r="B3" i="4"/>
  <c r="H3" i="4"/>
  <c r="I3" i="4"/>
  <c r="K3" i="4" s="1"/>
  <c r="M3" i="4"/>
  <c r="A4" i="4"/>
  <c r="B4" i="4"/>
  <c r="H4" i="4"/>
  <c r="I4" i="4"/>
  <c r="K4" i="4" s="1"/>
  <c r="M4" i="4"/>
  <c r="M2" i="4" l="1"/>
  <c r="I2" i="4"/>
  <c r="K2" i="4" s="1"/>
  <c r="H2" i="4"/>
  <c r="B2" i="4"/>
  <c r="A2" i="4" l="1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<sst xmlns="http://schemas.openxmlformats.org/spreadsheetml/2006/main" count="343" uniqueCount="39">
  <si>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</si>
  <si>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</si>
  <si>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</si>
  <si>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</si>
  <si>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</si>
  <si>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</si>
  <si>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</si>
  <si>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</si>
  <si>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</si>
  <si>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</si>
  <si>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</si>
  <si>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</si>
  <si>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</si>
  <si>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</si>
  <si>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</si>
  <si>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</si>
  <si>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</si>
  <si>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</si>
  <si>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</si>
  <si>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</si>
  <si>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</si>
  <si>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</si>
  <si>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</si>
  <si>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</si>
  <si>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</si>
  <si>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</si>
  <si>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</si>
  <si>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</si>
  <si>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</si>
  <si>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</si>
  <si>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</si>
  <si>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</si>
  <si>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</si>
  <si>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卖出</t>
  </si>
  <si>
    <t>浙商证券</t>
  </si>
  <si>
    <t>09:33:30</t>
  </si>
  <si>
    <t>242</t>
  </si>
  <si>
    <t>601878</t>
  </si>
  <si>
    <t>0000330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</si>
</sst>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2"/>
  <sheetViews>
    <sheetView zoomScale="130" zoomScaleNormal="130" workbookViewId="0">
      <pane ySplit="1" topLeftCell="A2" activePane="bottomLeft" state="frozen"/>
      <selection pane="bottomLeft" activeCell="A2" sqref="A2:N2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34</v>
      </c>
      <c r="B2" s="7" t="s">
        <v>33</v>
      </c>
      <c r="C2" s="7">
        <v>16.55</v>
      </c>
      <c r="D2" s="7">
        <v>1000</v>
      </c>
      <c r="E2" s="7">
        <v>16.55</v>
      </c>
      <c r="F2" s="7">
        <v>1000</v>
      </c>
      <c r="G2" s="7" t="s">
        <v>29</v>
      </c>
      <c r="H2" s="7" t="s">
        <v>35</v>
      </c>
      <c r="I2" s="7" t="s">
        <v>36</v>
      </c>
      <c r="J2" s="7" t="s">
        <v>37</v>
      </c>
      <c r="K2" s="7" t="s">
        <v>30</v>
      </c>
      <c r="L2" s="7" t="s">
        <v>31</v>
      </c>
      <c r="M2" s="7" t="s">
        <v>32</v>
      </c>
      <c r="N2" s="7" t="s">
        <v>38</v>
      </c>
      <c r="O2" s="4"/>
    </row>
    <row r="3" spans="1:15" x14ac:dyDescent="0.1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4"/>
    </row>
    <row r="4" spans="1:15" x14ac:dyDescent="0.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4"/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</row>
    <row r="17" spans="1:15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1:15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5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>
        <f>+E19*F19/36</f>
        <v>0</v>
      </c>
    </row>
    <row r="20" spans="1:15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5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5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5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24" spans="1:15" x14ac:dyDescent="0.1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</row>
    <row r="25" spans="1:15" x14ac:dyDescent="0.1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</row>
    <row r="26" spans="1:15" x14ac:dyDescent="0.1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</row>
    <row r="27" spans="1:15" x14ac:dyDescent="0.1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</row>
    <row r="28" spans="1:15" x14ac:dyDescent="0.1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</row>
    <row r="29" spans="1:15" x14ac:dyDescent="0.1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5" x14ac:dyDescent="0.1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</row>
    <row r="31" spans="1:15" x14ac:dyDescent="0.1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>
        <f>+E31*F31/36</f>
        <v>0</v>
      </c>
    </row>
    <row r="52" spans="15:15" x14ac:dyDescent="0.15">
      <c r="O52" s="7">
        <f>+E52*F52/36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8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42919</v>
      </c>
      <c r="B2" s="5" t="str">
        <f>'20161118 当日委托查询'!H2</f>
        <v>09:33:30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601878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-1000</v>
      </c>
      <c r="L2" s="7">
        <v>1</v>
      </c>
      <c r="M2" s="7">
        <f>'20161118 当日委托查询'!E2</f>
        <v>16.55</v>
      </c>
    </row>
    <row r="3" spans="1:25" x14ac:dyDescent="0.15">
      <c r="A3" s="2">
        <f t="shared" ca="1" si="0"/>
        <v>42919</v>
      </c>
      <c r="B3" s="5">
        <f>'20161118 当日委托查询'!H3</f>
        <v>0</v>
      </c>
      <c r="C3" s="7" t="s">
        <v>25</v>
      </c>
      <c r="D3" s="7" t="s">
        <v>26</v>
      </c>
      <c r="E3" s="7" t="s">
        <v>27</v>
      </c>
      <c r="F3" s="7"/>
      <c r="G3" s="7"/>
      <c r="H3" s="7">
        <f>'20161118 当日委托查询'!J3</f>
        <v>0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0</v>
      </c>
      <c r="L3" s="7">
        <v>1</v>
      </c>
      <c r="M3" s="7">
        <f>'20161118 当日委托查询'!E3</f>
        <v>0</v>
      </c>
    </row>
    <row r="4" spans="1:25" x14ac:dyDescent="0.15">
      <c r="A4" s="2">
        <f t="shared" ca="1" si="0"/>
        <v>42919</v>
      </c>
      <c r="B4" s="5">
        <f>'20161118 当日委托查询'!H4</f>
        <v>0</v>
      </c>
      <c r="C4" s="7" t="s">
        <v>25</v>
      </c>
      <c r="D4" s="7" t="s">
        <v>26</v>
      </c>
      <c r="E4" s="7" t="s">
        <v>27</v>
      </c>
      <c r="F4" s="7"/>
      <c r="G4" s="7"/>
      <c r="H4" s="7">
        <f>'20161118 当日委托查询'!J4</f>
        <v>0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0</v>
      </c>
      <c r="L4" s="7">
        <v>1</v>
      </c>
      <c r="M4" s="7">
        <f>'20161118 当日委托查询'!E4</f>
        <v>0</v>
      </c>
    </row>
    <row r="5" spans="1:25" x14ac:dyDescent="0.15">
      <c r="A5" s="2">
        <f t="shared" ca="1" si="0"/>
        <v>42919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42919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42919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42919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42919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42919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42919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42919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42919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42919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42919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42919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42919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42919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42919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42919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42919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42919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42919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42919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42919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42919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42919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42919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42919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42919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42919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42919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42919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42919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42919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42919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42919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42919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42919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42919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42919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42919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42919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42919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42919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42919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42919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42919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42919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42919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42919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42919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42919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42919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42919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42919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42919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42919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42919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42919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42919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42919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42919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42919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42919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8" ca="1" si="1">TODAY()</f>
        <v>42919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42919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42919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42919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42919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42919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42919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42919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42919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42919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42919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42919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  <row r="78" spans="1:13" x14ac:dyDescent="0.15">
      <c r="A78" s="2">
        <f t="shared" ca="1" si="1"/>
        <v>42919</v>
      </c>
      <c r="B78" s="5">
        <f>'20161118 当日委托查询'!H78</f>
        <v>0</v>
      </c>
      <c r="C78" s="7" t="s">
        <v>25</v>
      </c>
      <c r="D78" s="7" t="s">
        <v>26</v>
      </c>
      <c r="E78" s="7" t="s">
        <v>27</v>
      </c>
      <c r="F78" s="7"/>
      <c r="G78" s="7"/>
      <c r="H78" s="7">
        <f>'20161118 当日委托查询'!J78</f>
        <v>0</v>
      </c>
      <c r="I78" s="7" t="str">
        <f>IF('20161118 当日委托查询'!B78="卖出","S","B")</f>
        <v>B</v>
      </c>
      <c r="J78" s="7" t="s">
        <v>28</v>
      </c>
      <c r="K78" s="7">
        <f>IF(I78="S",-1*'20161118 当日委托查询'!F78,'20161118 当日委托查询'!F78)</f>
        <v>0</v>
      </c>
      <c r="L78" s="7">
        <v>1</v>
      </c>
      <c r="M78" s="7">
        <f>'20161118 当日委托查询'!E78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2017-07-03T08:37:11Z</dcterms:modified>
</cp:coreProperties>
</file>