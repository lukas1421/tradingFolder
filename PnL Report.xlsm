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10" windowWidth="16605" windowHeight="9105" activeTab="1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<sst xmlns="http://schemas.openxmlformats.org/spreadsheetml/2006/main" count="577" uniqueCount="121">
  <si>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</si>
  <si>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</si>
  <si>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</si>
  <si>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</si>
  <si>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</si>
  <si>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</si>
  <si>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</si>
  <si>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</si>
  <si>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</si>
  <si>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</si>
  <si>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</si>
  <si>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</si>
  <si>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</si>
  <si>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</si>
  <si>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</si>
  <si>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</si>
  <si>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</si>
  <si>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</si>
  <si>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</si>
  <si>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</si>
  <si>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</si>
  <si>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</si>
  <si>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</si>
  <si>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</si>
  <si>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</si>
  <si>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</si>
  <si>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</si>
  <si>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</si>
  <si>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</si>
  <si>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</si>
  <si>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</si>
  <si>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</si>
  <si>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</si>
  <si>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</si>
  <si>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上汽集团</t>
  </si>
  <si>
    <t>600104</t>
  </si>
  <si>
    <t>格力电器</t>
  </si>
  <si>
    <t>13:52:18</t>
  </si>
  <si>
    <t>2241</t>
  </si>
  <si>
    <t>000651</t>
  </si>
  <si>
    <t>0174291408</t>
  </si>
  <si>
    <t>0000494</t>
  </si>
  <si>
    <t>13:50:35</t>
  </si>
  <si>
    <t>2237</t>
  </si>
  <si>
    <t>0007492</t>
  </si>
  <si>
    <t>13:50:15</t>
  </si>
  <si>
    <t>2235</t>
  </si>
  <si>
    <t>0000482</t>
  </si>
  <si>
    <t>东方证券</t>
  </si>
  <si>
    <t>13:49:42</t>
  </si>
  <si>
    <t>2232</t>
  </si>
  <si>
    <t>600958</t>
  </si>
  <si>
    <t>0007471</t>
  </si>
  <si>
    <t>贵州茅台</t>
  </si>
  <si>
    <t>11:17:58</t>
  </si>
  <si>
    <t>2228</t>
  </si>
  <si>
    <t>600519</t>
  </si>
  <si>
    <t>0005709</t>
  </si>
  <si>
    <t>11:11:01</t>
  </si>
  <si>
    <t>2225</t>
  </si>
  <si>
    <t>0005532</t>
  </si>
  <si>
    <t>保利地产</t>
  </si>
  <si>
    <t>10:47:48</t>
  </si>
  <si>
    <t>2216</t>
  </si>
  <si>
    <t>600048</t>
  </si>
  <si>
    <t>0004886</t>
  </si>
  <si>
    <t>10:46:52</t>
  </si>
  <si>
    <t>2211</t>
  </si>
  <si>
    <t>00002QK</t>
  </si>
  <si>
    <t>10:46:36</t>
  </si>
  <si>
    <t>2209</t>
  </si>
  <si>
    <t>0004847</t>
  </si>
  <si>
    <t>10:46:29</t>
  </si>
  <si>
    <t>2207</t>
  </si>
  <si>
    <t>0004839</t>
  </si>
  <si>
    <t>10:45:50</t>
  </si>
  <si>
    <t>2205</t>
  </si>
  <si>
    <t>0004818</t>
  </si>
  <si>
    <t>10:45:12</t>
  </si>
  <si>
    <t>2202</t>
  </si>
  <si>
    <t>00002PB</t>
  </si>
  <si>
    <t>中国建筑</t>
  </si>
  <si>
    <t>10:45:03</t>
  </si>
  <si>
    <t>2199</t>
  </si>
  <si>
    <t>601668</t>
  </si>
  <si>
    <t>0004791</t>
  </si>
  <si>
    <t>10:44:47</t>
  </si>
  <si>
    <t>2196</t>
  </si>
  <si>
    <t>00002P4</t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</si>
  <si>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</si>
  <si>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</si>
  <si>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</si>
  <si>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</si>
  <si>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</si>
  <si>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</si>
  <si>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</si>
  <si>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</si>
  <si>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</si>
  <si>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</si>
  <si>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</si>
  <si>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</si>
  <si>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</si>
  <si>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证券买入</t>
  </si>
  <si>
    <t>已成</t>
  </si>
  <si>
    <t>融资开仓</t>
  </si>
  <si>
    <t>E046935023</t>
  </si>
  <si>
    <t>招商</t>
  </si>
  <si>
    <t>CNY</t>
  </si>
  <si>
    <t>O</t>
  </si>
  <si>
    <t>50ETF</t>
  </si>
  <si>
    <t>13:06:32</t>
  </si>
  <si>
    <t>94299</t>
  </si>
  <si>
    <t>510050</t>
  </si>
  <si>
    <t>13:11:12</t>
  </si>
  <si>
    <t>95821</t>
  </si>
  <si>
    <t>13:17:12</t>
  </si>
  <si>
    <t>98038</t>
  </si>
  <si>
    <t>13:20:56</t>
  </si>
  <si>
    <t>99396</t>
  </si>
  <si>
    <t>13:36:00</t>
  </si>
  <si>
    <t>105352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</si>
</sst>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36</v>
      </c>
      <c r="B2" s="7" t="s">
        <v>33</v>
      </c>
      <c r="C2" s="7">
        <v>39.15</v>
      </c>
      <c r="D2" s="7">
        <v>1500</v>
      </c>
      <c r="E2" s="7">
        <v>39.15</v>
      </c>
      <c r="F2" s="7">
        <v>1500</v>
      </c>
      <c r="G2" s="7" t="s">
        <v>29</v>
      </c>
      <c r="H2" s="7" t="s">
        <v>37</v>
      </c>
      <c r="I2" s="7" t="s">
        <v>38</v>
      </c>
      <c r="J2" s="7" t="s">
        <v>39</v>
      </c>
      <c r="K2" s="7" t="s">
        <v>40</v>
      </c>
      <c r="L2" s="7" t="s">
        <v>31</v>
      </c>
      <c r="M2" s="7" t="s">
        <v>32</v>
      </c>
      <c r="N2" s="7" t="s">
        <v>41</v>
      </c>
      <c r="O2" s="4"/>
    </row>
    <row r="3" spans="1:15" x14ac:dyDescent="0.15">
      <c r="A3" s="7" t="s">
        <v>34</v>
      </c>
      <c r="B3" s="7" t="s">
        <v>33</v>
      </c>
      <c r="C3" s="7">
        <v>30.03</v>
      </c>
      <c r="D3" s="7">
        <v>2000</v>
      </c>
      <c r="E3" s="7">
        <v>30.03</v>
      </c>
      <c r="F3" s="7">
        <v>2000</v>
      </c>
      <c r="G3" s="7" t="s">
        <v>29</v>
      </c>
      <c r="H3" s="7" t="s">
        <v>42</v>
      </c>
      <c r="I3" s="7" t="s">
        <v>43</v>
      </c>
      <c r="J3" s="7" t="s">
        <v>35</v>
      </c>
      <c r="K3" s="7" t="s">
        <v>30</v>
      </c>
      <c r="L3" s="7" t="s">
        <v>31</v>
      </c>
      <c r="M3" s="7" t="s">
        <v>32</v>
      </c>
      <c r="N3" s="7" t="s">
        <v>44</v>
      </c>
      <c r="O3" s="4"/>
    </row>
    <row r="4" spans="1:15" x14ac:dyDescent="0.15">
      <c r="A4" s="7" t="s">
        <v>36</v>
      </c>
      <c r="B4" s="7" t="s">
        <v>33</v>
      </c>
      <c r="C4" s="7">
        <v>39.130000000000003</v>
      </c>
      <c r="D4" s="7">
        <v>1000</v>
      </c>
      <c r="E4" s="7">
        <v>39.130000000000003</v>
      </c>
      <c r="F4" s="7">
        <v>1000</v>
      </c>
      <c r="G4" s="7" t="s">
        <v>29</v>
      </c>
      <c r="H4" s="7" t="s">
        <v>45</v>
      </c>
      <c r="I4" s="7" t="s">
        <v>46</v>
      </c>
      <c r="J4" s="7" t="s">
        <v>39</v>
      </c>
      <c r="K4" s="7" t="s">
        <v>40</v>
      </c>
      <c r="L4" s="7" t="s">
        <v>31</v>
      </c>
      <c r="M4" s="7" t="s">
        <v>32</v>
      </c>
      <c r="N4" s="7" t="s">
        <v>47</v>
      </c>
    </row>
    <row r="5" spans="1:15" x14ac:dyDescent="0.15">
      <c r="A5" s="7" t="s">
        <v>48</v>
      </c>
      <c r="B5" s="7" t="s">
        <v>33</v>
      </c>
      <c r="C5" s="7">
        <v>16.23</v>
      </c>
      <c r="D5" s="7">
        <v>2000</v>
      </c>
      <c r="E5" s="7">
        <v>16.23</v>
      </c>
      <c r="F5" s="7">
        <v>2000</v>
      </c>
      <c r="G5" s="7" t="s">
        <v>29</v>
      </c>
      <c r="H5" s="7" t="s">
        <v>49</v>
      </c>
      <c r="I5" s="7" t="s">
        <v>50</v>
      </c>
      <c r="J5" s="7" t="s">
        <v>51</v>
      </c>
      <c r="K5" s="7" t="s">
        <v>30</v>
      </c>
      <c r="L5" s="7" t="s">
        <v>31</v>
      </c>
      <c r="M5" s="7" t="s">
        <v>32</v>
      </c>
      <c r="N5" s="7" t="s">
        <v>52</v>
      </c>
    </row>
    <row r="6" spans="1:15" x14ac:dyDescent="0.15">
      <c r="A6" s="7" t="s">
        <v>53</v>
      </c>
      <c r="B6" s="7" t="s">
        <v>33</v>
      </c>
      <c r="C6" s="7">
        <v>478.26</v>
      </c>
      <c r="D6" s="7">
        <v>100</v>
      </c>
      <c r="E6" s="7">
        <v>478.26</v>
      </c>
      <c r="F6" s="7">
        <v>100</v>
      </c>
      <c r="G6" s="7" t="s">
        <v>29</v>
      </c>
      <c r="H6" s="7" t="s">
        <v>54</v>
      </c>
      <c r="I6" s="7" t="s">
        <v>55</v>
      </c>
      <c r="J6" s="7" t="s">
        <v>56</v>
      </c>
      <c r="K6" s="7" t="s">
        <v>30</v>
      </c>
      <c r="L6" s="7" t="s">
        <v>31</v>
      </c>
      <c r="M6" s="7" t="s">
        <v>32</v>
      </c>
      <c r="N6" s="7" t="s">
        <v>57</v>
      </c>
    </row>
    <row r="7" spans="1:15" x14ac:dyDescent="0.15">
      <c r="A7" s="7" t="s">
        <v>34</v>
      </c>
      <c r="B7" s="7" t="s">
        <v>33</v>
      </c>
      <c r="C7" s="7">
        <v>29.99</v>
      </c>
      <c r="D7" s="7">
        <v>1500</v>
      </c>
      <c r="E7" s="7">
        <v>29.99</v>
      </c>
      <c r="F7" s="7">
        <v>1500</v>
      </c>
      <c r="G7" s="7" t="s">
        <v>29</v>
      </c>
      <c r="H7" s="7" t="s">
        <v>58</v>
      </c>
      <c r="I7" s="7" t="s">
        <v>59</v>
      </c>
      <c r="J7" s="7" t="s">
        <v>35</v>
      </c>
      <c r="K7" s="7" t="s">
        <v>30</v>
      </c>
      <c r="L7" s="7" t="s">
        <v>31</v>
      </c>
      <c r="M7" s="7" t="s">
        <v>32</v>
      </c>
      <c r="N7" s="7" t="s">
        <v>60</v>
      </c>
      <c r="O7" s="7"/>
    </row>
    <row r="8" spans="1:15" x14ac:dyDescent="0.15">
      <c r="A8" s="7" t="s">
        <v>61</v>
      </c>
      <c r="B8" s="7" t="s">
        <v>33</v>
      </c>
      <c r="C8" s="7">
        <v>10.53</v>
      </c>
      <c r="D8" s="7">
        <v>3700</v>
      </c>
      <c r="E8" s="7">
        <v>10.53</v>
      </c>
      <c r="F8" s="7">
        <v>3700</v>
      </c>
      <c r="G8" s="7" t="s">
        <v>29</v>
      </c>
      <c r="H8" s="7" t="s">
        <v>62</v>
      </c>
      <c r="I8" s="7" t="s">
        <v>63</v>
      </c>
      <c r="J8" s="7" t="s">
        <v>64</v>
      </c>
      <c r="K8" s="7" t="s">
        <v>30</v>
      </c>
      <c r="L8" s="7" t="s">
        <v>31</v>
      </c>
      <c r="M8" s="7" t="s">
        <v>32</v>
      </c>
      <c r="N8" s="7" t="s">
        <v>65</v>
      </c>
    </row>
    <row r="9" spans="1:15" x14ac:dyDescent="0.15">
      <c r="A9" s="7" t="s">
        <v>36</v>
      </c>
      <c r="B9" s="7" t="s">
        <v>33</v>
      </c>
      <c r="C9" s="7">
        <v>39.28</v>
      </c>
      <c r="D9" s="7">
        <v>1000</v>
      </c>
      <c r="E9" s="7">
        <v>39.28</v>
      </c>
      <c r="F9" s="7">
        <v>1000</v>
      </c>
      <c r="G9" s="7" t="s">
        <v>29</v>
      </c>
      <c r="H9" s="7" t="s">
        <v>66</v>
      </c>
      <c r="I9" s="7" t="s">
        <v>67</v>
      </c>
      <c r="J9" s="7" t="s">
        <v>39</v>
      </c>
      <c r="K9" s="7" t="s">
        <v>40</v>
      </c>
      <c r="L9" s="7" t="s">
        <v>31</v>
      </c>
      <c r="M9" s="7" t="s">
        <v>32</v>
      </c>
      <c r="N9" s="7" t="s">
        <v>68</v>
      </c>
    </row>
    <row r="10" spans="1:15" x14ac:dyDescent="0.15">
      <c r="A10" s="7" t="s">
        <v>34</v>
      </c>
      <c r="B10" s="7" t="s">
        <v>33</v>
      </c>
      <c r="C10" s="7">
        <v>30</v>
      </c>
      <c r="D10" s="7">
        <v>1300</v>
      </c>
      <c r="E10" s="7">
        <v>30</v>
      </c>
      <c r="F10" s="7">
        <v>1300</v>
      </c>
      <c r="G10" s="7" t="s">
        <v>29</v>
      </c>
      <c r="H10" s="7" t="s">
        <v>69</v>
      </c>
      <c r="I10" s="7" t="s">
        <v>70</v>
      </c>
      <c r="J10" s="7" t="s">
        <v>35</v>
      </c>
      <c r="K10" s="7" t="s">
        <v>30</v>
      </c>
      <c r="L10" s="7" t="s">
        <v>31</v>
      </c>
      <c r="M10" s="7" t="s">
        <v>32</v>
      </c>
      <c r="N10" s="7" t="s">
        <v>71</v>
      </c>
    </row>
    <row r="11" spans="1:15" x14ac:dyDescent="0.15">
      <c r="A11" s="7" t="s">
        <v>34</v>
      </c>
      <c r="B11" s="7" t="s">
        <v>33</v>
      </c>
      <c r="C11" s="7">
        <v>30</v>
      </c>
      <c r="D11" s="7">
        <v>1300</v>
      </c>
      <c r="E11" s="7">
        <v>30</v>
      </c>
      <c r="F11" s="7">
        <v>1300</v>
      </c>
      <c r="G11" s="7" t="s">
        <v>29</v>
      </c>
      <c r="H11" s="7" t="s">
        <v>72</v>
      </c>
      <c r="I11" s="7" t="s">
        <v>73</v>
      </c>
      <c r="J11" s="7" t="s">
        <v>35</v>
      </c>
      <c r="K11" s="7" t="s">
        <v>30</v>
      </c>
      <c r="L11" s="7" t="s">
        <v>31</v>
      </c>
      <c r="M11" s="7" t="s">
        <v>32</v>
      </c>
      <c r="N11" s="7" t="s">
        <v>74</v>
      </c>
    </row>
    <row r="12" spans="1:15" x14ac:dyDescent="0.15">
      <c r="A12" s="7" t="s">
        <v>53</v>
      </c>
      <c r="B12" s="7" t="s">
        <v>33</v>
      </c>
      <c r="C12" s="7">
        <v>477.91</v>
      </c>
      <c r="D12" s="7">
        <v>100</v>
      </c>
      <c r="E12" s="7">
        <v>477.91</v>
      </c>
      <c r="F12" s="7">
        <v>100</v>
      </c>
      <c r="G12" s="7" t="s">
        <v>29</v>
      </c>
      <c r="H12" s="7" t="s">
        <v>75</v>
      </c>
      <c r="I12" s="7" t="s">
        <v>76</v>
      </c>
      <c r="J12" s="7" t="s">
        <v>56</v>
      </c>
      <c r="K12" s="7" t="s">
        <v>30</v>
      </c>
      <c r="L12" s="7" t="s">
        <v>31</v>
      </c>
      <c r="M12" s="7" t="s">
        <v>32</v>
      </c>
      <c r="N12" s="7" t="s">
        <v>77</v>
      </c>
    </row>
    <row r="13" spans="1:15" x14ac:dyDescent="0.15">
      <c r="A13" s="7" t="s">
        <v>36</v>
      </c>
      <c r="B13" s="7" t="s">
        <v>33</v>
      </c>
      <c r="C13" s="7">
        <v>39.32</v>
      </c>
      <c r="D13" s="7">
        <v>1000</v>
      </c>
      <c r="E13" s="7">
        <v>39.32</v>
      </c>
      <c r="F13" s="7">
        <v>1000</v>
      </c>
      <c r="G13" s="7" t="s">
        <v>29</v>
      </c>
      <c r="H13" s="7" t="s">
        <v>78</v>
      </c>
      <c r="I13" s="7" t="s">
        <v>79</v>
      </c>
      <c r="J13" s="7" t="s">
        <v>39</v>
      </c>
      <c r="K13" s="7" t="s">
        <v>40</v>
      </c>
      <c r="L13" s="7" t="s">
        <v>31</v>
      </c>
      <c r="M13" s="7" t="s">
        <v>32</v>
      </c>
      <c r="N13" s="7" t="s">
        <v>80</v>
      </c>
    </row>
    <row r="14" spans="1:15" x14ac:dyDescent="0.15">
      <c r="A14" s="7" t="s">
        <v>81</v>
      </c>
      <c r="B14" s="7" t="s">
        <v>33</v>
      </c>
      <c r="C14" s="7">
        <v>10.28</v>
      </c>
      <c r="D14" s="7">
        <v>3800</v>
      </c>
      <c r="E14" s="7">
        <v>10.28</v>
      </c>
      <c r="F14" s="7">
        <v>3800</v>
      </c>
      <c r="G14" s="7" t="s">
        <v>29</v>
      </c>
      <c r="H14" s="7" t="s">
        <v>82</v>
      </c>
      <c r="I14" s="7" t="s">
        <v>83</v>
      </c>
      <c r="J14" s="7" t="s">
        <v>84</v>
      </c>
      <c r="K14" s="7" t="s">
        <v>30</v>
      </c>
      <c r="L14" s="7" t="s">
        <v>31</v>
      </c>
      <c r="M14" s="7" t="s">
        <v>32</v>
      </c>
      <c r="N14" s="7" t="s">
        <v>85</v>
      </c>
      <c r="O14" s="7"/>
    </row>
    <row r="15" spans="1:15" x14ac:dyDescent="0.15">
      <c r="A15" s="7" t="s">
        <v>36</v>
      </c>
      <c r="B15" s="7" t="s">
        <v>33</v>
      </c>
      <c r="C15" s="7">
        <v>39.299999999999997</v>
      </c>
      <c r="D15" s="7">
        <v>1000</v>
      </c>
      <c r="E15" s="7">
        <v>39.299999999999997</v>
      </c>
      <c r="F15" s="7">
        <v>1000</v>
      </c>
      <c r="G15" s="7" t="s">
        <v>29</v>
      </c>
      <c r="H15" s="7" t="s">
        <v>86</v>
      </c>
      <c r="I15" s="7" t="s">
        <v>87</v>
      </c>
      <c r="J15" s="7" t="s">
        <v>39</v>
      </c>
      <c r="K15" s="7" t="s">
        <v>40</v>
      </c>
      <c r="L15" s="7" t="s">
        <v>31</v>
      </c>
      <c r="M15" s="7" t="s">
        <v>32</v>
      </c>
      <c r="N15" s="7" t="s">
        <v>88</v>
      </c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2" sqref="G1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42950</v>
      </c>
      <c r="B2" s="5" t="str">
        <f>'20161118 当日委托查询'!H2</f>
        <v>13:52:18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000651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1500</v>
      </c>
      <c r="L2" s="7">
        <v>1</v>
      </c>
      <c r="M2" s="7">
        <f>'20161118 当日委托查询'!E2</f>
        <v>39.15</v>
      </c>
    </row>
    <row r="3" spans="1:25" x14ac:dyDescent="0.15">
      <c r="A3" s="2">
        <f t="shared" ca="1" si="0"/>
        <v>42950</v>
      </c>
      <c r="B3" s="5" t="str">
        <f>'20161118 当日委托查询'!H3</f>
        <v>13:50:35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600104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2000</v>
      </c>
      <c r="L3" s="7">
        <v>1</v>
      </c>
      <c r="M3" s="7">
        <f>'20161118 当日委托查询'!E3</f>
        <v>30.03</v>
      </c>
    </row>
    <row r="4" spans="1:25" x14ac:dyDescent="0.15">
      <c r="A4" s="2">
        <f t="shared" ca="1" si="0"/>
        <v>42950</v>
      </c>
      <c r="B4" s="5" t="str">
        <f>'20161118 当日委托查询'!H4</f>
        <v>13:50:15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000651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1000</v>
      </c>
      <c r="L4" s="7">
        <v>1</v>
      </c>
      <c r="M4" s="7">
        <f>'20161118 当日委托查询'!E4</f>
        <v>39.130000000000003</v>
      </c>
    </row>
    <row r="5" spans="1:25" x14ac:dyDescent="0.15">
      <c r="A5" s="2">
        <f t="shared" ca="1" si="0"/>
        <v>42950</v>
      </c>
      <c r="B5" s="5" t="str">
        <f>'20161118 当日委托查询'!H5</f>
        <v>13:49:42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600958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2000</v>
      </c>
      <c r="L5" s="7">
        <v>1</v>
      </c>
      <c r="M5" s="7">
        <f>'20161118 当日委托查询'!E5</f>
        <v>16.23</v>
      </c>
    </row>
    <row r="6" spans="1:25" x14ac:dyDescent="0.15">
      <c r="A6" s="2">
        <f t="shared" ca="1" si="0"/>
        <v>42950</v>
      </c>
      <c r="B6" s="5" t="str">
        <f>'20161118 当日委托查询'!H6</f>
        <v>11:17:58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600519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100</v>
      </c>
      <c r="L6" s="7">
        <v>1</v>
      </c>
      <c r="M6" s="7">
        <f>'20161118 当日委托查询'!E6</f>
        <v>478.26</v>
      </c>
    </row>
    <row r="7" spans="1:25" x14ac:dyDescent="0.15">
      <c r="A7" s="2">
        <f t="shared" ca="1" si="0"/>
        <v>42950</v>
      </c>
      <c r="B7" s="5" t="str">
        <f>'20161118 当日委托查询'!H7</f>
        <v>11:11:01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600104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1500</v>
      </c>
      <c r="L7" s="7">
        <v>1</v>
      </c>
      <c r="M7" s="7">
        <f>'20161118 当日委托查询'!E7</f>
        <v>29.99</v>
      </c>
    </row>
    <row r="8" spans="1:25" x14ac:dyDescent="0.15">
      <c r="A8" s="2">
        <f t="shared" ca="1" si="0"/>
        <v>42950</v>
      </c>
      <c r="B8" s="5" t="str">
        <f>'20161118 当日委托查询'!H8</f>
        <v>10:47:48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600048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3700</v>
      </c>
      <c r="L8" s="7">
        <v>1</v>
      </c>
      <c r="M8" s="7">
        <f>'20161118 当日委托查询'!E8</f>
        <v>10.53</v>
      </c>
    </row>
    <row r="9" spans="1:25" x14ac:dyDescent="0.15">
      <c r="A9" s="2">
        <f t="shared" ca="1" si="0"/>
        <v>42950</v>
      </c>
      <c r="B9" s="5" t="str">
        <f>'20161118 当日委托查询'!H9</f>
        <v>10:46:52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000651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1000</v>
      </c>
      <c r="L9" s="7">
        <v>1</v>
      </c>
      <c r="M9" s="7">
        <f>'20161118 当日委托查询'!E9</f>
        <v>39.28</v>
      </c>
    </row>
    <row r="10" spans="1:25" x14ac:dyDescent="0.15">
      <c r="A10" s="2">
        <f t="shared" ca="1" si="0"/>
        <v>42950</v>
      </c>
      <c r="B10" s="5" t="str">
        <f>'20161118 当日委托查询'!H10</f>
        <v>10:46:36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600104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1300</v>
      </c>
      <c r="L10" s="7">
        <v>1</v>
      </c>
      <c r="M10" s="7">
        <f>'20161118 当日委托查询'!E10</f>
        <v>30</v>
      </c>
    </row>
    <row r="11" spans="1:25" x14ac:dyDescent="0.15">
      <c r="A11" s="2">
        <f t="shared" ca="1" si="0"/>
        <v>42950</v>
      </c>
      <c r="B11" s="5" t="str">
        <f>'20161118 当日委托查询'!H11</f>
        <v>10:46:29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600104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1300</v>
      </c>
      <c r="L11" s="7">
        <v>1</v>
      </c>
      <c r="M11" s="7">
        <f>'20161118 当日委托查询'!E11</f>
        <v>30</v>
      </c>
    </row>
    <row r="12" spans="1:25" x14ac:dyDescent="0.15">
      <c r="A12" s="2">
        <f t="shared" ca="1" si="0"/>
        <v>42950</v>
      </c>
      <c r="B12" s="5" t="str">
        <f>'20161118 当日委托查询'!H12</f>
        <v>10:45:50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600519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100</v>
      </c>
      <c r="L12" s="7">
        <v>1</v>
      </c>
      <c r="M12" s="7">
        <f>'20161118 当日委托查询'!E12</f>
        <v>477.91</v>
      </c>
    </row>
    <row r="13" spans="1:25" x14ac:dyDescent="0.15">
      <c r="A13" s="2">
        <f t="shared" ca="1" si="0"/>
        <v>42950</v>
      </c>
      <c r="B13" s="5" t="str">
        <f>'20161118 当日委托查询'!H13</f>
        <v>10:45:12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000651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1000</v>
      </c>
      <c r="L13" s="7">
        <v>1</v>
      </c>
      <c r="M13" s="7">
        <f>'20161118 当日委托查询'!E13</f>
        <v>39.32</v>
      </c>
    </row>
    <row r="14" spans="1:25" x14ac:dyDescent="0.15">
      <c r="A14" s="2">
        <f t="shared" ca="1" si="0"/>
        <v>42950</v>
      </c>
      <c r="B14" s="5" t="str">
        <f>'20161118 当日委托查询'!H14</f>
        <v>10:45:03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601668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3800</v>
      </c>
      <c r="L14" s="7">
        <v>1</v>
      </c>
      <c r="M14" s="7">
        <f>'20161118 当日委托查询'!E14</f>
        <v>10.28</v>
      </c>
    </row>
    <row r="15" spans="1:25" x14ac:dyDescent="0.15">
      <c r="A15" s="2">
        <f t="shared" ca="1" si="0"/>
        <v>42950</v>
      </c>
      <c r="B15" s="5" t="str">
        <f>'20161118 当日委托查询'!H15</f>
        <v>10:44:47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000651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1000</v>
      </c>
      <c r="L15" s="7">
        <v>1</v>
      </c>
      <c r="M15" s="7">
        <f>'20161118 当日委托查询'!E15</f>
        <v>39.299999999999997</v>
      </c>
    </row>
    <row r="16" spans="1:25" x14ac:dyDescent="0.15">
      <c r="A16" s="2">
        <f t="shared" ca="1" si="0"/>
        <v>42950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42950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42950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42950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42950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42950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42950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42950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42950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42950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42950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42950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42950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42950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42950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42950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42950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42950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42950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42950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42950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42950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42950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42950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42950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42950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42950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42950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42950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42950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42950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42950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42950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42950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42950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42950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42950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42950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42950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42950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42950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42950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42950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42950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42950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42950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42950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42950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42950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42950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42950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42950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42950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42950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42950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42950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42950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42950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42950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42950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42950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42950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"/>
  <sheetViews>
    <sheetView zoomScale="115" zoomScaleNormal="115" workbookViewId="0">
      <selection activeCell="A2" sqref="A2:M6"/>
    </sheetView>
  </sheetViews>
  <sheetFormatPr defaultRowHeight="13.5" x14ac:dyDescent="0.15"/>
  <sheetData>
    <row r="1" spans="1:13" x14ac:dyDescent="0.15">
      <c r="A1" t="s">
        <v>89</v>
      </c>
      <c r="B1" t="s">
        <v>90</v>
      </c>
      <c r="C1" t="s">
        <v>91</v>
      </c>
      <c r="D1" t="s">
        <v>92</v>
      </c>
      <c r="E1" t="s">
        <v>93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</row>
    <row r="2" spans="1:13" x14ac:dyDescent="0.15">
      <c r="A2" t="s">
        <v>109</v>
      </c>
      <c r="B2" t="s">
        <v>102</v>
      </c>
      <c r="C2">
        <v>2.7120000000000002</v>
      </c>
      <c r="D2">
        <v>50000</v>
      </c>
      <c r="E2">
        <v>2.7120000000000002</v>
      </c>
      <c r="F2">
        <v>50000</v>
      </c>
      <c r="G2" t="s">
        <v>103</v>
      </c>
      <c r="H2" t="s">
        <v>110</v>
      </c>
      <c r="I2" t="s">
        <v>111</v>
      </c>
      <c r="J2" t="s">
        <v>112</v>
      </c>
      <c r="K2" t="s">
        <v>105</v>
      </c>
      <c r="L2" t="s">
        <v>104</v>
      </c>
      <c r="M2">
        <v>0</v>
      </c>
    </row>
    <row r="3" spans="1:13" x14ac:dyDescent="0.15">
      <c r="A3" t="s">
        <v>109</v>
      </c>
      <c r="B3" t="s">
        <v>102</v>
      </c>
      <c r="C3">
        <v>2.7109999999999999</v>
      </c>
      <c r="D3">
        <v>50000</v>
      </c>
      <c r="E3">
        <v>2.7109999999999999</v>
      </c>
      <c r="F3">
        <v>50000</v>
      </c>
      <c r="G3" t="s">
        <v>103</v>
      </c>
      <c r="H3" t="s">
        <v>113</v>
      </c>
      <c r="I3" t="s">
        <v>114</v>
      </c>
      <c r="J3" t="s">
        <v>112</v>
      </c>
      <c r="K3" t="s">
        <v>105</v>
      </c>
      <c r="L3" t="s">
        <v>104</v>
      </c>
      <c r="M3">
        <v>0</v>
      </c>
    </row>
    <row r="4" spans="1:13" x14ac:dyDescent="0.15">
      <c r="A4" t="s">
        <v>109</v>
      </c>
      <c r="B4" t="s">
        <v>102</v>
      </c>
      <c r="C4">
        <v>2.71</v>
      </c>
      <c r="D4">
        <v>50000</v>
      </c>
      <c r="E4">
        <v>2.71</v>
      </c>
      <c r="F4">
        <v>50000</v>
      </c>
      <c r="G4" t="s">
        <v>103</v>
      </c>
      <c r="H4" t="s">
        <v>115</v>
      </c>
      <c r="I4" t="s">
        <v>116</v>
      </c>
      <c r="J4" t="s">
        <v>112</v>
      </c>
      <c r="K4" t="s">
        <v>105</v>
      </c>
      <c r="L4" t="s">
        <v>104</v>
      </c>
      <c r="M4">
        <v>0</v>
      </c>
    </row>
    <row r="5" spans="1:13" x14ac:dyDescent="0.15">
      <c r="A5" t="s">
        <v>109</v>
      </c>
      <c r="B5" t="s">
        <v>102</v>
      </c>
      <c r="C5">
        <v>2.7090000000000001</v>
      </c>
      <c r="D5">
        <v>50000</v>
      </c>
      <c r="E5">
        <v>2.7090000000000001</v>
      </c>
      <c r="F5">
        <v>50000</v>
      </c>
      <c r="G5" t="s">
        <v>103</v>
      </c>
      <c r="H5" t="s">
        <v>117</v>
      </c>
      <c r="I5" t="s">
        <v>118</v>
      </c>
      <c r="J5" t="s">
        <v>112</v>
      </c>
      <c r="K5" t="s">
        <v>105</v>
      </c>
      <c r="L5" t="s">
        <v>104</v>
      </c>
      <c r="M5">
        <v>0</v>
      </c>
    </row>
    <row r="6" spans="1:13" x14ac:dyDescent="0.15">
      <c r="A6" t="s">
        <v>109</v>
      </c>
      <c r="B6" t="s">
        <v>102</v>
      </c>
      <c r="C6">
        <v>2.706</v>
      </c>
      <c r="D6">
        <v>50000</v>
      </c>
      <c r="E6">
        <v>2.706</v>
      </c>
      <c r="F6">
        <v>50000</v>
      </c>
      <c r="G6" t="s">
        <v>103</v>
      </c>
      <c r="H6" t="s">
        <v>119</v>
      </c>
      <c r="I6" t="s">
        <v>120</v>
      </c>
      <c r="J6" t="s">
        <v>112</v>
      </c>
      <c r="K6" t="s">
        <v>105</v>
      </c>
      <c r="L6" t="s">
        <v>104</v>
      </c>
      <c r="M6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A4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42950</v>
      </c>
      <c r="B2" t="str">
        <f>+'Margin 委托'!H2</f>
        <v>13:06:32</v>
      </c>
      <c r="C2" t="str">
        <f>IF('Margin 委托'!L2="融资开仓","Margin","Stock")</f>
        <v>Margin</v>
      </c>
      <c r="D2" t="s">
        <v>106</v>
      </c>
      <c r="E2" t="s">
        <v>107</v>
      </c>
      <c r="H2" t="str">
        <f>'Margin 委托'!J2</f>
        <v>510050</v>
      </c>
      <c r="I2" t="str">
        <f>IF('Margin 委托'!B2="证券买入","B","S")</f>
        <v>B</v>
      </c>
      <c r="J2" t="s">
        <v>108</v>
      </c>
      <c r="K2">
        <f>+'Margin 委托'!D2</f>
        <v>50000</v>
      </c>
      <c r="L2">
        <v>1</v>
      </c>
      <c r="M2">
        <f>+'Margin 委托'!C2</f>
        <v>2.7120000000000002</v>
      </c>
    </row>
    <row r="3" spans="1:13" x14ac:dyDescent="0.15">
      <c r="A3" s="2">
        <f t="shared" ca="1" si="0"/>
        <v>42950</v>
      </c>
      <c r="B3" s="7" t="str">
        <f>+'Margin 委托'!H3</f>
        <v>13:11:12</v>
      </c>
      <c r="C3" s="7" t="str">
        <f>IF('Margin 委托'!L3="融资开仓","Margin","Stock")</f>
        <v>Margin</v>
      </c>
      <c r="D3" t="s">
        <v>106</v>
      </c>
      <c r="E3" t="s">
        <v>107</v>
      </c>
      <c r="H3" s="7" t="str">
        <f>'Margin 委托'!J3</f>
        <v>510050</v>
      </c>
      <c r="I3" s="7" t="str">
        <f>IF('Margin 委托'!B3="证券买入","B","S")</f>
        <v>B</v>
      </c>
      <c r="J3" t="s">
        <v>108</v>
      </c>
      <c r="K3" s="7">
        <f>+'Margin 委托'!D3</f>
        <v>50000</v>
      </c>
      <c r="L3">
        <v>1</v>
      </c>
      <c r="M3" s="7">
        <f>+'Margin 委托'!C3</f>
        <v>2.7109999999999999</v>
      </c>
    </row>
    <row r="4" spans="1:13" x14ac:dyDescent="0.15">
      <c r="A4" s="2">
        <f t="shared" ca="1" si="0"/>
        <v>42950</v>
      </c>
      <c r="B4" s="7" t="str">
        <f>+'Margin 委托'!H4</f>
        <v>13:17:12</v>
      </c>
      <c r="C4" s="7" t="str">
        <f>IF('Margin 委托'!L4="融资开仓","Margin","Stock")</f>
        <v>Margin</v>
      </c>
      <c r="D4" t="s">
        <v>106</v>
      </c>
      <c r="E4" t="s">
        <v>107</v>
      </c>
      <c r="H4" s="7" t="str">
        <f>'Margin 委托'!J4</f>
        <v>510050</v>
      </c>
      <c r="I4" s="7" t="str">
        <f>IF('Margin 委托'!B4="证券买入","B","S")</f>
        <v>B</v>
      </c>
      <c r="J4" t="s">
        <v>108</v>
      </c>
      <c r="K4" s="7">
        <f>+'Margin 委托'!D4</f>
        <v>50000</v>
      </c>
      <c r="L4">
        <v>1</v>
      </c>
      <c r="M4" s="7">
        <f>+'Margin 委托'!C4</f>
        <v>2.71</v>
      </c>
    </row>
    <row r="5" spans="1:13" x14ac:dyDescent="0.15">
      <c r="A5" s="2">
        <f t="shared" ca="1" si="0"/>
        <v>42950</v>
      </c>
      <c r="B5" s="7" t="str">
        <f>+'Margin 委托'!H5</f>
        <v>13:20:56</v>
      </c>
      <c r="C5" s="7" t="str">
        <f>IF('Margin 委托'!L5="融资开仓","Margin","Stock")</f>
        <v>Margin</v>
      </c>
      <c r="D5" t="s">
        <v>106</v>
      </c>
      <c r="E5" t="s">
        <v>107</v>
      </c>
      <c r="H5" s="7" t="str">
        <f>'Margin 委托'!J5</f>
        <v>510050</v>
      </c>
      <c r="I5" s="7" t="str">
        <f>IF('Margin 委托'!B5="证券买入","B","S")</f>
        <v>B</v>
      </c>
      <c r="J5" t="s">
        <v>108</v>
      </c>
      <c r="K5" s="7">
        <f>+'Margin 委托'!D5</f>
        <v>50000</v>
      </c>
      <c r="L5">
        <v>1</v>
      </c>
      <c r="M5" s="7">
        <f>+'Margin 委托'!C5</f>
        <v>2.7090000000000001</v>
      </c>
    </row>
    <row r="6" spans="1:13" x14ac:dyDescent="0.15">
      <c r="A6" s="2">
        <f t="shared" ca="1" si="0"/>
        <v>42950</v>
      </c>
      <c r="B6" s="7" t="str">
        <f>+'Margin 委托'!H6</f>
        <v>13:36:00</v>
      </c>
      <c r="C6" s="7" t="str">
        <f>IF('Margin 委托'!L6="融资开仓","Margin","Stock")</f>
        <v>Margin</v>
      </c>
      <c r="D6" t="s">
        <v>106</v>
      </c>
      <c r="E6" t="s">
        <v>107</v>
      </c>
      <c r="H6" s="7" t="str">
        <f>'Margin 委托'!J6</f>
        <v>510050</v>
      </c>
      <c r="I6" s="7" t="str">
        <f>IF('Margin 委托'!B6="证券买入","B","S")</f>
        <v>B</v>
      </c>
      <c r="J6" t="s">
        <v>108</v>
      </c>
      <c r="K6" s="7">
        <f>+'Margin 委托'!D6</f>
        <v>50000</v>
      </c>
      <c r="L6">
        <v>1</v>
      </c>
      <c r="M6" s="7">
        <f>+'Margin 委托'!C6</f>
        <v>2.706</v>
      </c>
    </row>
    <row r="7" spans="1:13" x14ac:dyDescent="0.15">
      <c r="A7" s="2">
        <f t="shared" ca="1" si="0"/>
        <v>42950</v>
      </c>
      <c r="B7" s="7">
        <f>+'Margin 委托'!H7</f>
        <v>0</v>
      </c>
      <c r="C7" s="7" t="str">
        <f>IF('Margin 委托'!L7="融资开仓","Margin","Stock")</f>
        <v>Stock</v>
      </c>
      <c r="D7" t="s">
        <v>106</v>
      </c>
      <c r="E7" t="s">
        <v>107</v>
      </c>
      <c r="H7" s="7">
        <f>'Margin 委托'!J7</f>
        <v>0</v>
      </c>
      <c r="I7" s="7" t="str">
        <f>IF('Margin 委托'!B7="证券买入","B","S")</f>
        <v>S</v>
      </c>
      <c r="J7" t="s">
        <v>108</v>
      </c>
      <c r="K7" s="7">
        <f>+'Margin 委托'!D7</f>
        <v>0</v>
      </c>
      <c r="L7">
        <v>1</v>
      </c>
      <c r="M7" s="7">
        <f>+'Margin 委托'!C7</f>
        <v>0</v>
      </c>
    </row>
    <row r="8" spans="1:13" x14ac:dyDescent="0.15">
      <c r="A8" s="2">
        <f t="shared" ca="1" si="0"/>
        <v>42950</v>
      </c>
      <c r="B8" s="7">
        <f>+'Margin 委托'!H8</f>
        <v>0</v>
      </c>
      <c r="C8" s="7" t="str">
        <f>IF('Margin 委托'!L8="融资开仓","Margin","Stock")</f>
        <v>Stock</v>
      </c>
      <c r="D8" t="s">
        <v>106</v>
      </c>
      <c r="E8" t="s">
        <v>107</v>
      </c>
      <c r="H8" s="7">
        <f>'Margin 委托'!J8</f>
        <v>0</v>
      </c>
      <c r="I8" s="7" t="str">
        <f>IF('Margin 委托'!B8="证券买入","B","S")</f>
        <v>S</v>
      </c>
      <c r="J8" t="s">
        <v>108</v>
      </c>
      <c r="K8" s="7">
        <f>+'Margin 委托'!D8</f>
        <v>0</v>
      </c>
      <c r="L8">
        <v>1</v>
      </c>
      <c r="M8" s="7">
        <f>+'Margin 委托'!C8</f>
        <v>0</v>
      </c>
    </row>
    <row r="9" spans="1:13" x14ac:dyDescent="0.15">
      <c r="A9" s="2">
        <f t="shared" ca="1" si="0"/>
        <v>42950</v>
      </c>
      <c r="B9" s="7">
        <f>+'Margin 委托'!H9</f>
        <v>0</v>
      </c>
      <c r="C9" s="7" t="str">
        <f>IF('Margin 委托'!L9="融资开仓","Margin","Stock")</f>
        <v>Stock</v>
      </c>
      <c r="D9" t="s">
        <v>106</v>
      </c>
      <c r="E9" t="s">
        <v>107</v>
      </c>
      <c r="H9" s="7">
        <f>'Margin 委托'!J9</f>
        <v>0</v>
      </c>
      <c r="I9" s="7" t="str">
        <f>IF('Margin 委托'!B9="证券买入","B","S")</f>
        <v>S</v>
      </c>
      <c r="J9" t="s">
        <v>108</v>
      </c>
      <c r="K9" s="7">
        <f>+'Margin 委托'!D9</f>
        <v>0</v>
      </c>
      <c r="L9">
        <v>1</v>
      </c>
      <c r="M9" s="7">
        <f>+'Margin 委托'!C9</f>
        <v>0</v>
      </c>
    </row>
    <row r="10" spans="1:13" x14ac:dyDescent="0.15">
      <c r="A10" s="2">
        <f t="shared" ca="1" si="0"/>
        <v>42950</v>
      </c>
      <c r="B10" s="7">
        <f>+'Margin 委托'!H10</f>
        <v>0</v>
      </c>
      <c r="C10" s="7" t="str">
        <f>IF('Margin 委托'!L10="融资开仓","Margin","Stock")</f>
        <v>Stock</v>
      </c>
      <c r="D10" t="s">
        <v>106</v>
      </c>
      <c r="E10" t="s">
        <v>107</v>
      </c>
      <c r="H10" s="7">
        <f>'Margin 委托'!J10</f>
        <v>0</v>
      </c>
      <c r="I10" s="7" t="str">
        <f>IF('Margin 委托'!B10="证券买入","B","S")</f>
        <v>S</v>
      </c>
      <c r="J10" t="s">
        <v>108</v>
      </c>
      <c r="K10" s="7">
        <f>+'Margin 委托'!D10</f>
        <v>0</v>
      </c>
      <c r="L10">
        <v>1</v>
      </c>
      <c r="M10" s="7">
        <f>+'Margin 委托'!C10</f>
        <v>0</v>
      </c>
    </row>
    <row r="11" spans="1:13" x14ac:dyDescent="0.15">
      <c r="A11" s="2">
        <f t="shared" ca="1" si="0"/>
        <v>42950</v>
      </c>
      <c r="B11" s="7">
        <f>+'Margin 委托'!H11</f>
        <v>0</v>
      </c>
      <c r="C11" s="7" t="str">
        <f>IF('Margin 委托'!L11="融资开仓","Margin","Stock")</f>
        <v>Stock</v>
      </c>
      <c r="D11" t="s">
        <v>106</v>
      </c>
      <c r="E11" t="s">
        <v>107</v>
      </c>
      <c r="H11" s="7">
        <f>'Margin 委托'!J11</f>
        <v>0</v>
      </c>
      <c r="I11" s="7" t="str">
        <f>IF('Margin 委托'!B11="证券买入","B","S")</f>
        <v>S</v>
      </c>
      <c r="J11" t="s">
        <v>108</v>
      </c>
      <c r="K11" s="7">
        <f>+'Margin 委托'!D11</f>
        <v>0</v>
      </c>
      <c r="L11">
        <v>1</v>
      </c>
      <c r="M11" s="7">
        <f>+'Margin 委托'!C11</f>
        <v>0</v>
      </c>
    </row>
    <row r="12" spans="1:13" x14ac:dyDescent="0.15">
      <c r="A12" s="2">
        <f t="shared" ca="1" si="0"/>
        <v>42950</v>
      </c>
      <c r="B12" s="7">
        <f>+'Margin 委托'!H12</f>
        <v>0</v>
      </c>
      <c r="C12" s="7" t="str">
        <f>IF('Margin 委托'!L12="融资开仓","Margin","Stock")</f>
        <v>Stock</v>
      </c>
      <c r="D12" t="s">
        <v>106</v>
      </c>
      <c r="E12" t="s">
        <v>107</v>
      </c>
      <c r="H12" s="7">
        <f>'Margin 委托'!J12</f>
        <v>0</v>
      </c>
      <c r="I12" s="7" t="str">
        <f>IF('Margin 委托'!B12="证券买入","B","S")</f>
        <v>S</v>
      </c>
      <c r="J12" t="s">
        <v>108</v>
      </c>
      <c r="K12" s="7">
        <f>+'Margin 委托'!D12</f>
        <v>0</v>
      </c>
      <c r="L12">
        <v>1</v>
      </c>
      <c r="M12" s="7">
        <f>+'Margin 委托'!C12</f>
        <v>0</v>
      </c>
    </row>
    <row r="13" spans="1:13" x14ac:dyDescent="0.15">
      <c r="A13" s="2">
        <f t="shared" ca="1" si="0"/>
        <v>42950</v>
      </c>
      <c r="B13" s="7">
        <f>+'Margin 委托'!H13</f>
        <v>0</v>
      </c>
      <c r="C13" s="7" t="str">
        <f>IF('Margin 委托'!L13="融资开仓","Margin","Stock")</f>
        <v>Stock</v>
      </c>
      <c r="D13" t="s">
        <v>106</v>
      </c>
      <c r="E13" t="s">
        <v>107</v>
      </c>
      <c r="H13" s="7">
        <f>'Margin 委托'!J13</f>
        <v>0</v>
      </c>
      <c r="I13" s="7" t="str">
        <f>IF('Margin 委托'!B13="证券买入","B","S")</f>
        <v>S</v>
      </c>
      <c r="J13" t="s">
        <v>108</v>
      </c>
      <c r="K13" s="7">
        <f>+'Margin 委托'!D13</f>
        <v>0</v>
      </c>
      <c r="L13">
        <v>1</v>
      </c>
      <c r="M13" s="7">
        <f>+'Margin 委托'!C13</f>
        <v>0</v>
      </c>
    </row>
    <row r="14" spans="1:13" x14ac:dyDescent="0.15">
      <c r="A14" s="2">
        <f t="shared" ca="1" si="0"/>
        <v>42950</v>
      </c>
      <c r="B14" s="7">
        <f>+'Margin 委托'!H14</f>
        <v>0</v>
      </c>
      <c r="C14" s="7" t="str">
        <f>IF('Margin 委托'!L14="融资开仓","Margin","Stock")</f>
        <v>Stock</v>
      </c>
      <c r="D14" t="s">
        <v>106</v>
      </c>
      <c r="E14" t="s">
        <v>107</v>
      </c>
      <c r="H14" s="7">
        <f>'Margin 委托'!J14</f>
        <v>0</v>
      </c>
      <c r="I14" s="7" t="str">
        <f>IF('Margin 委托'!B14="证券买入","B","S")</f>
        <v>S</v>
      </c>
      <c r="J14" t="s">
        <v>108</v>
      </c>
      <c r="K14" s="7">
        <f>+'Margin 委托'!D14</f>
        <v>0</v>
      </c>
      <c r="L14">
        <v>1</v>
      </c>
      <c r="M14" s="7">
        <f>+'Margin 委托'!C14</f>
        <v>0</v>
      </c>
    </row>
    <row r="15" spans="1:13" x14ac:dyDescent="0.15">
      <c r="A15" s="2">
        <f t="shared" ca="1" si="0"/>
        <v>42950</v>
      </c>
      <c r="B15" s="7">
        <f>+'Margin 委托'!H15</f>
        <v>0</v>
      </c>
      <c r="C15" s="7" t="str">
        <f>IF('Margin 委托'!L15="融资开仓","Margin","Stock")</f>
        <v>Stock</v>
      </c>
      <c r="D15" t="s">
        <v>106</v>
      </c>
      <c r="E15" t="s">
        <v>107</v>
      </c>
      <c r="H15" s="7">
        <f>'Margin 委托'!J15</f>
        <v>0</v>
      </c>
      <c r="I15" s="7" t="str">
        <f>IF('Margin 委托'!B15="证券买入","B","S")</f>
        <v>S</v>
      </c>
      <c r="J15" t="s">
        <v>108</v>
      </c>
      <c r="K15" s="7">
        <f>+'Margin 委托'!D15</f>
        <v>0</v>
      </c>
      <c r="L15">
        <v>1</v>
      </c>
      <c r="M15" s="7">
        <f>+'Margin 委托'!C15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2017-08-03T07:21:43Z</dcterms:modified>
</cp:coreProperties>
</file>