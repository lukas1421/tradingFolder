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360" yWindow="690" windowWidth="16605" windowHeight="9225" activeTab="1"/>
  </bookViews>
  <sheets>
    <sheet name="20161118 当日委托查询" sheetId="1" r:id="rId1"/>
    <sheet name="Main" sheetId="4" r:id="rId2"/>
    <sheet name="Sheet1" sheetId="2" r:id="rId3"/>
    <sheet name="Sheet2" sheetId="3" r:id="rId4"/>
  </sheets>
  <definedNames>
    <definedName name="_xlnm._FilterDatabase" localSheetId="0" hidden="1">'20161118 当日委托查询'!$A$1:$O$25</definedName>
    <definedName name="_xlnm._FilterDatabase" localSheetId="1" hidden="1">Main!$A$1:$Y$40</definedName>
  </definedNames>
  <calcPr calcId="145621"/>
</workbook>
</file>

<file path=xl/calcChain.xml><?xml version="1.0" encoding="utf-8"?>
<calcChain xmlns="http://schemas.openxmlformats.org/spreadsheetml/2006/main">
  <c r="A10" i="4" l="1"/>
  <c r="B10" i="4"/>
  <c r="H10" i="4"/>
  <c r="I10" i="4"/>
  <c r="K10" i="4" s="1"/>
  <c r="M10" i="4"/>
  <c r="A11" i="4"/>
  <c r="B11" i="4"/>
  <c r="H11" i="4"/>
  <c r="I11" i="4"/>
  <c r="K11" i="4" s="1"/>
  <c r="M11" i="4"/>
  <c r="A12" i="4"/>
  <c r="B12" i="4"/>
  <c r="H12" i="4"/>
  <c r="I12" i="4"/>
  <c r="K12" i="4"/>
  <c r="M12" i="4"/>
  <c r="A13" i="4"/>
  <c r="B13" i="4"/>
  <c r="H13" i="4"/>
  <c r="I13" i="4"/>
  <c r="K13" i="4" s="1"/>
  <c r="M13" i="4"/>
  <c r="A14" i="4"/>
  <c r="B14" i="4"/>
  <c r="H14" i="4"/>
  <c r="I14" i="4"/>
  <c r="K14" i="4"/>
  <c r="M14" i="4"/>
  <c r="A15" i="4"/>
  <c r="B15" i="4"/>
  <c r="H15" i="4"/>
  <c r="I15" i="4"/>
  <c r="K15" i="4" s="1"/>
  <c r="M15" i="4"/>
  <c r="A16" i="4"/>
  <c r="B16" i="4"/>
  <c r="H16" i="4"/>
  <c r="I16" i="4"/>
  <c r="K16" i="4"/>
  <c r="M16" i="4"/>
  <c r="A17" i="4"/>
  <c r="B17" i="4"/>
  <c r="H17" i="4"/>
  <c r="I17" i="4"/>
  <c r="K17" i="4" s="1"/>
  <c r="M17" i="4"/>
  <c r="A18" i="4"/>
  <c r="B18" i="4"/>
  <c r="H18" i="4"/>
  <c r="I18" i="4"/>
  <c r="K18" i="4"/>
  <c r="M18" i="4"/>
  <c r="A19" i="4"/>
  <c r="B19" i="4"/>
  <c r="H19" i="4"/>
  <c r="I19" i="4"/>
  <c r="K19" i="4" s="1"/>
  <c r="M19" i="4"/>
  <c r="A20" i="4"/>
  <c r="B20" i="4"/>
  <c r="H20" i="4"/>
  <c r="I20" i="4"/>
  <c r="K20" i="4"/>
  <c r="M20" i="4"/>
  <c r="A21" i="4"/>
  <c r="B21" i="4"/>
  <c r="H21" i="4"/>
  <c r="I21" i="4"/>
  <c r="K21" i="4" s="1"/>
  <c r="M21" i="4"/>
  <c r="A22" i="4"/>
  <c r="B22" i="4"/>
  <c r="H22" i="4"/>
  <c r="I22" i="4"/>
  <c r="K22" i="4"/>
  <c r="M22" i="4"/>
  <c r="A23" i="4"/>
  <c r="B23" i="4"/>
  <c r="H23" i="4"/>
  <c r="I23" i="4"/>
  <c r="K23" i="4" s="1"/>
  <c r="M23" i="4"/>
  <c r="A24" i="4"/>
  <c r="B24" i="4"/>
  <c r="H24" i="4"/>
  <c r="I24" i="4"/>
  <c r="K24" i="4"/>
  <c r="M24" i="4"/>
  <c r="A25" i="4"/>
  <c r="B25" i="4"/>
  <c r="H25" i="4"/>
  <c r="I25" i="4"/>
  <c r="K25" i="4" s="1"/>
  <c r="M25" i="4"/>
  <c r="A26" i="4"/>
  <c r="B26" i="4"/>
  <c r="H26" i="4"/>
  <c r="I26" i="4"/>
  <c r="K26" i="4"/>
  <c r="M26" i="4"/>
  <c r="A27" i="4"/>
  <c r="B27" i="4"/>
  <c r="H27" i="4"/>
  <c r="I27" i="4"/>
  <c r="K27" i="4" s="1"/>
  <c r="M27" i="4"/>
  <c r="A28" i="4"/>
  <c r="B28" i="4"/>
  <c r="H28" i="4"/>
  <c r="I28" i="4"/>
  <c r="K28" i="4"/>
  <c r="M28" i="4"/>
  <c r="A29" i="4"/>
  <c r="B29" i="4"/>
  <c r="H29" i="4"/>
  <c r="I29" i="4"/>
  <c r="K29" i="4" s="1"/>
  <c r="M29" i="4"/>
  <c r="A30" i="4"/>
  <c r="B30" i="4"/>
  <c r="H30" i="4"/>
  <c r="I30" i="4"/>
  <c r="K30" i="4"/>
  <c r="M30" i="4"/>
  <c r="A31" i="4"/>
  <c r="B31" i="4"/>
  <c r="H31" i="4"/>
  <c r="I31" i="4"/>
  <c r="K31" i="4" s="1"/>
  <c r="M31" i="4"/>
  <c r="A32" i="4"/>
  <c r="B32" i="4"/>
  <c r="H32" i="4"/>
  <c r="I32" i="4"/>
  <c r="K32" i="4"/>
  <c r="M32" i="4"/>
  <c r="A33" i="4"/>
  <c r="B33" i="4"/>
  <c r="H33" i="4"/>
  <c r="I33" i="4"/>
  <c r="K33" i="4" s="1"/>
  <c r="M33" i="4"/>
  <c r="A34" i="4"/>
  <c r="B34" i="4"/>
  <c r="H34" i="4"/>
  <c r="I34" i="4"/>
  <c r="K34" i="4"/>
  <c r="M34" i="4"/>
  <c r="A35" i="4"/>
  <c r="B35" i="4"/>
  <c r="H35" i="4"/>
  <c r="I35" i="4"/>
  <c r="K35" i="4" s="1"/>
  <c r="M35" i="4"/>
  <c r="A36" i="4"/>
  <c r="B36" i="4"/>
  <c r="H36" i="4"/>
  <c r="I36" i="4"/>
  <c r="K36" i="4"/>
  <c r="M36" i="4"/>
  <c r="A37" i="4"/>
  <c r="B37" i="4"/>
  <c r="H37" i="4"/>
  <c r="I37" i="4"/>
  <c r="K37" i="4" s="1"/>
  <c r="M37" i="4"/>
  <c r="A38" i="4"/>
  <c r="B38" i="4"/>
  <c r="H38" i="4"/>
  <c r="I38" i="4"/>
  <c r="K38" i="4"/>
  <c r="M38" i="4"/>
  <c r="A39" i="4"/>
  <c r="B39" i="4"/>
  <c r="H39" i="4"/>
  <c r="I39" i="4"/>
  <c r="K39" i="4" s="1"/>
  <c r="M39" i="4"/>
  <c r="A40" i="4"/>
  <c r="B40" i="4"/>
  <c r="H40" i="4"/>
  <c r="I40" i="4"/>
  <c r="K40" i="4"/>
  <c r="M40" i="4"/>
  <c r="A41" i="4"/>
  <c r="B41" i="4"/>
  <c r="H41" i="4"/>
  <c r="I41" i="4"/>
  <c r="K41" i="4" s="1"/>
  <c r="M41" i="4"/>
  <c r="A42" i="4"/>
  <c r="B42" i="4"/>
  <c r="H42" i="4"/>
  <c r="I42" i="4"/>
  <c r="K42" i="4"/>
  <c r="M42" i="4"/>
  <c r="A43" i="4"/>
  <c r="B43" i="4"/>
  <c r="H43" i="4"/>
  <c r="I43" i="4"/>
  <c r="K43" i="4" s="1"/>
  <c r="M43" i="4"/>
  <c r="A44" i="4"/>
  <c r="B44" i="4"/>
  <c r="H44" i="4"/>
  <c r="I44" i="4"/>
  <c r="K44" i="4"/>
  <c r="M44" i="4"/>
  <c r="A45" i="4"/>
  <c r="B45" i="4"/>
  <c r="H45" i="4"/>
  <c r="I45" i="4"/>
  <c r="K45" i="4" s="1"/>
  <c r="M45" i="4"/>
  <c r="A46" i="4"/>
  <c r="B46" i="4"/>
  <c r="H46" i="4"/>
  <c r="I46" i="4"/>
  <c r="K46" i="4"/>
  <c r="M46" i="4"/>
  <c r="A47" i="4"/>
  <c r="B47" i="4"/>
  <c r="H47" i="4"/>
  <c r="I47" i="4"/>
  <c r="K47" i="4" s="1"/>
  <c r="M47" i="4"/>
  <c r="A48" i="4"/>
  <c r="B48" i="4"/>
  <c r="H48" i="4"/>
  <c r="I48" i="4"/>
  <c r="K48" i="4"/>
  <c r="M48" i="4"/>
  <c r="A49" i="4"/>
  <c r="B49" i="4"/>
  <c r="H49" i="4"/>
  <c r="I49" i="4"/>
  <c r="K49" i="4" s="1"/>
  <c r="M49" i="4"/>
  <c r="A50" i="4"/>
  <c r="B50" i="4"/>
  <c r="H50" i="4"/>
  <c r="I50" i="4"/>
  <c r="K50" i="4"/>
  <c r="M50" i="4"/>
  <c r="A51" i="4"/>
  <c r="B51" i="4"/>
  <c r="H51" i="4"/>
  <c r="I51" i="4"/>
  <c r="K51" i="4" s="1"/>
  <c r="M51" i="4"/>
  <c r="A52" i="4"/>
  <c r="B52" i="4"/>
  <c r="H52" i="4"/>
  <c r="I52" i="4"/>
  <c r="K52" i="4"/>
  <c r="M52" i="4"/>
  <c r="A53" i="4"/>
  <c r="B53" i="4"/>
  <c r="H53" i="4"/>
  <c r="I53" i="4"/>
  <c r="K53" i="4" s="1"/>
  <c r="M53" i="4"/>
  <c r="A54" i="4"/>
  <c r="B54" i="4"/>
  <c r="H54" i="4"/>
  <c r="I54" i="4"/>
  <c r="K54" i="4"/>
  <c r="M54" i="4"/>
  <c r="A55" i="4"/>
  <c r="B55" i="4"/>
  <c r="H55" i="4"/>
  <c r="I55" i="4"/>
  <c r="K55" i="4" s="1"/>
  <c r="M55" i="4"/>
  <c r="A56" i="4"/>
  <c r="B56" i="4"/>
  <c r="H56" i="4"/>
  <c r="I56" i="4"/>
  <c r="K56" i="4"/>
  <c r="M56" i="4"/>
  <c r="A57" i="4"/>
  <c r="B57" i="4"/>
  <c r="H57" i="4"/>
  <c r="I57" i="4"/>
  <c r="K57" i="4" s="1"/>
  <c r="M57" i="4"/>
  <c r="A58" i="4"/>
  <c r="B58" i="4"/>
  <c r="H58" i="4"/>
  <c r="I58" i="4"/>
  <c r="K58" i="4"/>
  <c r="M58" i="4"/>
  <c r="A59" i="4"/>
  <c r="B59" i="4"/>
  <c r="H59" i="4"/>
  <c r="I59" i="4"/>
  <c r="K59" i="4" s="1"/>
  <c r="M59" i="4"/>
  <c r="A60" i="4"/>
  <c r="B60" i="4"/>
  <c r="H60" i="4"/>
  <c r="I60" i="4"/>
  <c r="K60" i="4"/>
  <c r="M60" i="4"/>
  <c r="A61" i="4"/>
  <c r="B61" i="4"/>
  <c r="H61" i="4"/>
  <c r="I61" i="4"/>
  <c r="K61" i="4" s="1"/>
  <c r="M61" i="4"/>
  <c r="A62" i="4"/>
  <c r="B62" i="4"/>
  <c r="H62" i="4"/>
  <c r="I62" i="4"/>
  <c r="K62" i="4"/>
  <c r="M62" i="4"/>
  <c r="A63" i="4"/>
  <c r="B63" i="4"/>
  <c r="H63" i="4"/>
  <c r="I63" i="4"/>
  <c r="K63" i="4" s="1"/>
  <c r="M63" i="4"/>
  <c r="A64" i="4"/>
  <c r="B64" i="4"/>
  <c r="H64" i="4"/>
  <c r="I64" i="4"/>
  <c r="K64" i="4"/>
  <c r="M64" i="4"/>
  <c r="A65" i="4"/>
  <c r="B65" i="4"/>
  <c r="H65" i="4"/>
  <c r="I65" i="4"/>
  <c r="K65" i="4" s="1"/>
  <c r="M65" i="4"/>
  <c r="A66" i="4"/>
  <c r="B66" i="4"/>
  <c r="H66" i="4"/>
  <c r="I66" i="4"/>
  <c r="K66" i="4"/>
  <c r="M66" i="4"/>
  <c r="A67" i="4"/>
  <c r="B67" i="4"/>
  <c r="H67" i="4"/>
  <c r="I67" i="4"/>
  <c r="K67" i="4" s="1"/>
  <c r="M67" i="4"/>
  <c r="A68" i="4"/>
  <c r="B68" i="4"/>
  <c r="H68" i="4"/>
  <c r="I68" i="4"/>
  <c r="K68" i="4"/>
  <c r="M68" i="4"/>
  <c r="A69" i="4"/>
  <c r="B69" i="4"/>
  <c r="H69" i="4"/>
  <c r="I69" i="4"/>
  <c r="K69" i="4" s="1"/>
  <c r="M69" i="4"/>
  <c r="A70" i="4"/>
  <c r="B70" i="4"/>
  <c r="H70" i="4"/>
  <c r="I70" i="4"/>
  <c r="K70" i="4"/>
  <c r="M70" i="4"/>
  <c r="A71" i="4"/>
  <c r="B71" i="4"/>
  <c r="H71" i="4"/>
  <c r="I71" i="4"/>
  <c r="K71" i="4" s="1"/>
  <c r="M71" i="4"/>
  <c r="A72" i="4"/>
  <c r="B72" i="4"/>
  <c r="H72" i="4"/>
  <c r="I72" i="4"/>
  <c r="K72" i="4"/>
  <c r="M72" i="4"/>
  <c r="A73" i="4"/>
  <c r="B73" i="4"/>
  <c r="H73" i="4"/>
  <c r="I73" i="4"/>
  <c r="K73" i="4" s="1"/>
  <c r="M73" i="4"/>
  <c r="A74" i="4"/>
  <c r="B74" i="4"/>
  <c r="H74" i="4"/>
  <c r="I74" i="4"/>
  <c r="K74" i="4"/>
  <c r="M74" i="4"/>
  <c r="A75" i="4"/>
  <c r="B75" i="4"/>
  <c r="H75" i="4"/>
  <c r="I75" i="4"/>
  <c r="K75" i="4" s="1"/>
  <c r="M75" i="4"/>
  <c r="A76" i="4"/>
  <c r="B76" i="4"/>
  <c r="H76" i="4"/>
  <c r="I76" i="4"/>
  <c r="K76" i="4"/>
  <c r="M76" i="4"/>
  <c r="A77" i="4"/>
  <c r="B77" i="4"/>
  <c r="H77" i="4"/>
  <c r="I77" i="4"/>
  <c r="K77" i="4" s="1"/>
  <c r="M77" i="4"/>
  <c r="A78" i="4"/>
  <c r="B78" i="4"/>
  <c r="H78" i="4"/>
  <c r="I78" i="4"/>
  <c r="K78" i="4"/>
  <c r="M78" i="4"/>
  <c r="O19" i="1" l="1"/>
  <c r="O31" i="1" l="1"/>
  <c r="O52" i="1" l="1"/>
  <c r="A5" i="4" l="1"/>
  <c r="B5" i="4"/>
  <c r="H5" i="4"/>
  <c r="I5" i="4"/>
  <c r="K5" i="4" s="1"/>
  <c r="M5" i="4"/>
  <c r="A6" i="4"/>
  <c r="B6" i="4"/>
  <c r="H6" i="4"/>
  <c r="I6" i="4"/>
  <c r="K6" i="4" s="1"/>
  <c r="M6" i="4"/>
  <c r="A7" i="4"/>
  <c r="B7" i="4"/>
  <c r="H7" i="4"/>
  <c r="I7" i="4"/>
  <c r="K7" i="4" s="1"/>
  <c r="M7" i="4"/>
  <c r="A8" i="4"/>
  <c r="B8" i="4"/>
  <c r="H8" i="4"/>
  <c r="I8" i="4"/>
  <c r="K8" i="4" s="1"/>
  <c r="M8" i="4"/>
  <c r="A9" i="4"/>
  <c r="B9" i="4"/>
  <c r="H9" i="4"/>
  <c r="I9" i="4"/>
  <c r="K9" i="4" s="1"/>
  <c r="M9" i="4"/>
  <c r="A3" i="4" l="1"/>
  <c r="B3" i="4"/>
  <c r="H3" i="4"/>
  <c r="I3" i="4"/>
  <c r="K3" i="4" s="1"/>
  <c r="M3" i="4"/>
  <c r="A4" i="4"/>
  <c r="B4" i="4"/>
  <c r="H4" i="4"/>
  <c r="I4" i="4"/>
  <c r="K4" i="4" s="1"/>
  <c r="M4" i="4"/>
  <c r="M2" i="4" l="1"/>
  <c r="I2" i="4"/>
  <c r="K2" i="4" s="1"/>
  <c r="H2" i="4"/>
  <c r="B2" i="4"/>
  <c r="A2" i="4" l="1"/>
  <c r="L1" i="1" l="1"/>
  <c r="K1" i="1"/>
  <c r="J1" i="1"/>
  <c r="I1" i="1"/>
  <c r="H1" i="1"/>
  <c r="G1" i="1"/>
  <c r="F1" i="1"/>
  <c r="E1" i="1"/>
  <c r="D1" i="1"/>
  <c r="C1" i="1"/>
  <c r="B1" i="1"/>
  <c r="A1" i="1"/>
</calcChain>
</file>

<file path=xl/sharedStrings.xml><?xml version="1.0" encoding="utf-8"?>
<sst xmlns="http://schemas.openxmlformats.org/spreadsheetml/2006/main" count="413" uniqueCount="70">
  <si>
    <t>Date</t>
  </si>
  <si>
    <t>Time</t>
  </si>
  <si>
    <t>Type</t>
  </si>
  <si>
    <t>Broker</t>
  </si>
  <si>
    <t>Currency</t>
  </si>
  <si>
    <t>Exchage</t>
  </si>
  <si>
    <t>Name</t>
  </si>
  <si>
    <t>Ticker</t>
  </si>
  <si>
    <t>Direction</t>
  </si>
  <si>
    <t>Trade Status</t>
  </si>
  <si>
    <t>Volume</t>
  </si>
  <si>
    <t>Multiplier</t>
  </si>
  <si>
    <t>Price</t>
  </si>
  <si>
    <t>Cost</t>
  </si>
  <si>
    <t>过户费</t>
  </si>
  <si>
    <t>Brokerage</t>
  </si>
  <si>
    <t>印花税</t>
  </si>
  <si>
    <t>Net Cost</t>
  </si>
  <si>
    <t>Net Unit cost</t>
  </si>
  <si>
    <t>Close day before</t>
  </si>
  <si>
    <t>Current Cost</t>
  </si>
  <si>
    <t>Unrealized PL</t>
  </si>
  <si>
    <t>MTM</t>
  </si>
  <si>
    <t>Note</t>
  </si>
  <si>
    <t>PnL</t>
  </si>
  <si>
    <t>Stock</t>
    <phoneticPr fontId="18" type="noConversion"/>
  </si>
  <si>
    <t>招商</t>
    <phoneticPr fontId="18" type="noConversion"/>
  </si>
  <si>
    <t>CNY</t>
    <phoneticPr fontId="18" type="noConversion"/>
  </si>
  <si>
    <t>O</t>
    <phoneticPr fontId="18" type="noConversion"/>
  </si>
  <si>
    <t>已成交</t>
  </si>
  <si>
    <t>A153608419</t>
  </si>
  <si>
    <t>限价</t>
  </si>
  <si>
    <t>网上委托</t>
  </si>
  <si>
    <t>福耀玻璃</t>
  </si>
  <si>
    <t>600660</t>
  </si>
  <si>
    <t>0174291408</t>
  </si>
  <si>
    <t>海康威视</t>
  </si>
  <si>
    <t>002415</t>
  </si>
  <si>
    <t>大族激光</t>
  </si>
  <si>
    <t>002008</t>
  </si>
  <si>
    <t>小天鹅Ａ</t>
  </si>
  <si>
    <t>000418</t>
  </si>
  <si>
    <t>卖出</t>
  </si>
  <si>
    <t>已报</t>
  </si>
  <si>
    <t>14:58:41</t>
  </si>
  <si>
    <t>229</t>
  </si>
  <si>
    <t>000076P</t>
  </si>
  <si>
    <t>14:58:14</t>
  </si>
  <si>
    <t>227</t>
  </si>
  <si>
    <t>0000765</t>
  </si>
  <si>
    <t>14:56:34</t>
  </si>
  <si>
    <t>223</t>
  </si>
  <si>
    <t>0007432</t>
  </si>
  <si>
    <t>中国人寿</t>
  </si>
  <si>
    <t>14:56:21</t>
  </si>
  <si>
    <t>221</t>
  </si>
  <si>
    <t>601628</t>
  </si>
  <si>
    <t>0007425</t>
  </si>
  <si>
    <t>14:56:03</t>
  </si>
  <si>
    <t>215</t>
  </si>
  <si>
    <t>000073D</t>
  </si>
  <si>
    <t>14:55:27</t>
  </si>
  <si>
    <t>212</t>
  </si>
  <si>
    <t>000072M</t>
  </si>
  <si>
    <t>14:55:15</t>
  </si>
  <si>
    <t>209</t>
  </si>
  <si>
    <t>0000725</t>
  </si>
  <si>
    <t>14:55:03</t>
  </si>
  <si>
    <t>207</t>
  </si>
  <si>
    <t>000071W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</si>
</sst>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b/>
      <sz val="18"/>
      <color theme="3"/>
      <name val="宋体"/>
      <family val="2"/>
      <charset val="134"/>
      <scheme val="major"/>
    </font>
    <font>
      <b/>
      <sz val="15"/>
      <color theme="3"/>
      <name val="宋体"/>
      <family val="2"/>
      <charset val="134"/>
      <scheme val="minor"/>
    </font>
    <font>
      <b/>
      <sz val="13"/>
      <color theme="3"/>
      <name val="宋体"/>
      <family val="2"/>
      <charset val="134"/>
      <scheme val="minor"/>
    </font>
    <font>
      <b/>
      <sz val="11"/>
      <color theme="3"/>
      <name val="宋体"/>
      <family val="2"/>
      <charset val="134"/>
      <scheme val="minor"/>
    </font>
    <font>
      <sz val="11"/>
      <color rgb="FF006100"/>
      <name val="宋体"/>
      <family val="2"/>
      <charset val="134"/>
      <scheme val="minor"/>
    </font>
    <font>
      <sz val="11"/>
      <color rgb="FF9C0006"/>
      <name val="宋体"/>
      <family val="2"/>
      <charset val="134"/>
      <scheme val="minor"/>
    </font>
    <font>
      <sz val="11"/>
      <color rgb="FF9C6500"/>
      <name val="宋体"/>
      <family val="2"/>
      <charset val="134"/>
      <scheme val="minor"/>
    </font>
    <font>
      <sz val="11"/>
      <color rgb="FF3F3F76"/>
      <name val="宋体"/>
      <family val="2"/>
      <charset val="134"/>
      <scheme val="minor"/>
    </font>
    <font>
      <b/>
      <sz val="11"/>
      <color rgb="FF3F3F3F"/>
      <name val="宋体"/>
      <family val="2"/>
      <charset val="134"/>
      <scheme val="minor"/>
    </font>
    <font>
      <b/>
      <sz val="11"/>
      <color rgb="FFFA7D00"/>
      <name val="宋体"/>
      <family val="2"/>
      <charset val="134"/>
      <scheme val="minor"/>
    </font>
    <font>
      <sz val="11"/>
      <color rgb="FFFA7D00"/>
      <name val="宋体"/>
      <family val="2"/>
      <charset val="134"/>
      <scheme val="minor"/>
    </font>
    <font>
      <b/>
      <sz val="11"/>
      <color theme="0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i/>
      <sz val="11"/>
      <color rgb="FF7F7F7F"/>
      <name val="宋体"/>
      <family val="2"/>
      <charset val="134"/>
      <scheme val="minor"/>
    </font>
    <font>
      <b/>
      <sz val="11"/>
      <color theme="1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sz val="9"/>
      <name val="宋体"/>
      <family val="2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</cellXfs>
  <cellStyles count="42">
    <cellStyle name="20% - 强调文字颜色 1" xfId="19" builtinId="30" customBuiltin="1"/>
    <cellStyle name="20% - 强调文字颜色 2" xfId="23" builtinId="34" customBuiltin="1"/>
    <cellStyle name="20% - 强调文字颜色 3" xfId="27" builtinId="38" customBuiltin="1"/>
    <cellStyle name="20% - 强调文字颜色 4" xfId="31" builtinId="42" customBuiltin="1"/>
    <cellStyle name="20% - 强调文字颜色 5" xfId="35" builtinId="46" customBuiltin="1"/>
    <cellStyle name="20% - 强调文字颜色 6" xfId="39" builtinId="50" customBuiltin="1"/>
    <cellStyle name="40% - 强调文字颜色 1" xfId="20" builtinId="31" customBuiltin="1"/>
    <cellStyle name="40% - 强调文字颜色 2" xfId="24" builtinId="35" customBuiltin="1"/>
    <cellStyle name="40% - 强调文字颜色 3" xfId="28" builtinId="39" customBuiltin="1"/>
    <cellStyle name="40% - 强调文字颜色 4" xfId="32" builtinId="43" customBuiltin="1"/>
    <cellStyle name="40% - 强调文字颜色 5" xfId="36" builtinId="47" customBuiltin="1"/>
    <cellStyle name="40% - 强调文字颜色 6" xfId="40" builtinId="51" customBuiltin="1"/>
    <cellStyle name="60% - 强调文字颜色 1" xfId="21" builtinId="32" customBuiltin="1"/>
    <cellStyle name="60% - 强调文字颜色 2" xfId="25" builtinId="36" customBuiltin="1"/>
    <cellStyle name="60% - 强调文字颜色 3" xfId="29" builtinId="40" customBuiltin="1"/>
    <cellStyle name="60% - 强调文字颜色 4" xfId="33" builtinId="44" customBuiltin="1"/>
    <cellStyle name="60% - 强调文字颜色 5" xfId="37" builtinId="48" customBuiltin="1"/>
    <cellStyle name="60% - 强调文字颜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强调文字颜色 1" xfId="18" builtinId="29" customBuiltin="1"/>
    <cellStyle name="强调文字颜色 2" xfId="22" builtinId="33" customBuiltin="1"/>
    <cellStyle name="强调文字颜色 3" xfId="26" builtinId="37" customBuiltin="1"/>
    <cellStyle name="强调文字颜色 4" xfId="30" builtinId="41" customBuiltin="1"/>
    <cellStyle name="强调文字颜色 5" xfId="34" builtinId="45" customBuiltin="1"/>
    <cellStyle name="强调文字颜色 6" xfId="38" builtinId="49" customBuiltin="1"/>
    <cellStyle name="适中" xfId="8" builtinId="28" customBuiltin="1"/>
    <cellStyle name="输出" xfId="10" builtinId="21" customBuiltin="1"/>
    <cellStyle name="输入" xfId="9" builtinId="20" customBuiltin="1"/>
    <cellStyle name="注释" xfId="15" builtinId="1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52"/>
  <sheetViews>
    <sheetView zoomScale="130" zoomScaleNormal="130" workbookViewId="0">
      <pane ySplit="1" topLeftCell="A2" activePane="bottomLeft" state="frozen"/>
      <selection pane="bottomLeft" activeCell="A2" sqref="A2:XFD2"/>
    </sheetView>
  </sheetViews>
  <sheetFormatPr defaultRowHeight="13.5" x14ac:dyDescent="0.15"/>
  <sheetData>
    <row r="1" spans="1:15" s="6" customFormat="1" x14ac:dyDescent="0.15">
      <c r="A1" s="6" t="str">
        <f>"证券名称"</f>
        <v>证券名称</v>
      </c>
      <c r="B1" s="6" t="str">
        <f>"市场"</f>
        <v>市场</v>
      </c>
      <c r="C1" s="6" t="str">
        <f>"成交时间"</f>
        <v>成交时间</v>
      </c>
      <c r="D1" s="6" t="str">
        <f>"买卖标志"</f>
        <v>买卖标志</v>
      </c>
      <c r="E1" s="6" t="str">
        <f>"成交价格"</f>
        <v>成交价格</v>
      </c>
      <c r="F1" s="6" t="str">
        <f>"成交数量"</f>
        <v>成交数量</v>
      </c>
      <c r="G1" s="6" t="str">
        <f>"成交金额"</f>
        <v>成交金额</v>
      </c>
      <c r="H1" s="6" t="str">
        <f>"成交编号"</f>
        <v>成交编号</v>
      </c>
      <c r="I1" s="6" t="str">
        <f>"委托编号"</f>
        <v>委托编号</v>
      </c>
      <c r="J1" s="6" t="str">
        <f>"证券代码"</f>
        <v>证券代码</v>
      </c>
      <c r="K1" s="6" t="str">
        <f>"股东代码"</f>
        <v>股东代码</v>
      </c>
      <c r="L1" s="6" t="str">
        <f>"起始序号"</f>
        <v>起始序号</v>
      </c>
    </row>
    <row r="2" spans="1:15" x14ac:dyDescent="0.15">
      <c r="A2" s="7" t="s">
        <v>38</v>
      </c>
      <c r="B2" s="7" t="s">
        <v>42</v>
      </c>
      <c r="C2" s="7">
        <v>34.700000000000003</v>
      </c>
      <c r="D2" s="7">
        <v>1700</v>
      </c>
      <c r="E2" s="7">
        <v>0</v>
      </c>
      <c r="F2" s="7">
        <v>0</v>
      </c>
      <c r="G2" s="7" t="s">
        <v>43</v>
      </c>
      <c r="H2" s="7" t="s">
        <v>44</v>
      </c>
      <c r="I2" s="7" t="s">
        <v>45</v>
      </c>
      <c r="J2" s="7" t="s">
        <v>39</v>
      </c>
      <c r="K2" s="7" t="s">
        <v>35</v>
      </c>
      <c r="L2" s="7" t="s">
        <v>31</v>
      </c>
      <c r="M2" s="7" t="s">
        <v>32</v>
      </c>
      <c r="N2" s="7" t="s">
        <v>46</v>
      </c>
      <c r="O2" s="4"/>
    </row>
    <row r="3" spans="1:15" x14ac:dyDescent="0.15">
      <c r="A3" s="7" t="s">
        <v>40</v>
      </c>
      <c r="B3" s="7" t="s">
        <v>42</v>
      </c>
      <c r="C3" s="7">
        <v>46.77</v>
      </c>
      <c r="D3" s="7">
        <v>1300</v>
      </c>
      <c r="E3" s="7">
        <v>46.79</v>
      </c>
      <c r="F3" s="7">
        <v>1300</v>
      </c>
      <c r="G3" s="7" t="s">
        <v>29</v>
      </c>
      <c r="H3" s="7" t="s">
        <v>47</v>
      </c>
      <c r="I3" s="7" t="s">
        <v>48</v>
      </c>
      <c r="J3" s="7" t="s">
        <v>41</v>
      </c>
      <c r="K3" s="7" t="s">
        <v>35</v>
      </c>
      <c r="L3" s="7" t="s">
        <v>31</v>
      </c>
      <c r="M3" s="7" t="s">
        <v>32</v>
      </c>
      <c r="N3" s="7" t="s">
        <v>49</v>
      </c>
      <c r="O3" s="4"/>
    </row>
    <row r="4" spans="1:15" x14ac:dyDescent="0.15">
      <c r="A4" s="7" t="s">
        <v>33</v>
      </c>
      <c r="B4" s="7" t="s">
        <v>42</v>
      </c>
      <c r="C4" s="7">
        <v>26.03</v>
      </c>
      <c r="D4" s="7">
        <v>2000</v>
      </c>
      <c r="E4" s="7">
        <v>26.03</v>
      </c>
      <c r="F4" s="7">
        <v>2000</v>
      </c>
      <c r="G4" s="7" t="s">
        <v>29</v>
      </c>
      <c r="H4" s="7" t="s">
        <v>50</v>
      </c>
      <c r="I4" s="7" t="s">
        <v>51</v>
      </c>
      <c r="J4" s="7" t="s">
        <v>34</v>
      </c>
      <c r="K4" s="7" t="s">
        <v>30</v>
      </c>
      <c r="L4" s="7" t="s">
        <v>31</v>
      </c>
      <c r="M4" s="7" t="s">
        <v>32</v>
      </c>
      <c r="N4" s="7" t="s">
        <v>52</v>
      </c>
      <c r="O4" s="4"/>
    </row>
    <row r="5" spans="1:15" x14ac:dyDescent="0.15">
      <c r="A5" s="7" t="s">
        <v>53</v>
      </c>
      <c r="B5" s="7" t="s">
        <v>42</v>
      </c>
      <c r="C5" s="7">
        <v>26.97</v>
      </c>
      <c r="D5" s="7">
        <v>2200</v>
      </c>
      <c r="E5" s="7">
        <v>26.97</v>
      </c>
      <c r="F5" s="7">
        <v>2200</v>
      </c>
      <c r="G5" s="7" t="s">
        <v>29</v>
      </c>
      <c r="H5" s="7" t="s">
        <v>54</v>
      </c>
      <c r="I5" s="7" t="s">
        <v>55</v>
      </c>
      <c r="J5" s="7" t="s">
        <v>56</v>
      </c>
      <c r="K5" s="7" t="s">
        <v>30</v>
      </c>
      <c r="L5" s="7" t="s">
        <v>31</v>
      </c>
      <c r="M5" s="7" t="s">
        <v>32</v>
      </c>
      <c r="N5" s="7" t="s">
        <v>57</v>
      </c>
    </row>
    <row r="6" spans="1:15" x14ac:dyDescent="0.15">
      <c r="A6" s="7" t="s">
        <v>38</v>
      </c>
      <c r="B6" s="7" t="s">
        <v>42</v>
      </c>
      <c r="C6" s="7">
        <v>34.659999999999997</v>
      </c>
      <c r="D6" s="7">
        <v>2200</v>
      </c>
      <c r="E6" s="7">
        <v>34.659999999999997</v>
      </c>
      <c r="F6" s="7">
        <v>2200</v>
      </c>
      <c r="G6" s="7" t="s">
        <v>29</v>
      </c>
      <c r="H6" s="7" t="s">
        <v>58</v>
      </c>
      <c r="I6" s="7" t="s">
        <v>59</v>
      </c>
      <c r="J6" s="7" t="s">
        <v>39</v>
      </c>
      <c r="K6" s="7" t="s">
        <v>35</v>
      </c>
      <c r="L6" s="7" t="s">
        <v>31</v>
      </c>
      <c r="M6" s="7" t="s">
        <v>32</v>
      </c>
      <c r="N6" s="7" t="s">
        <v>60</v>
      </c>
    </row>
    <row r="7" spans="1:15" x14ac:dyDescent="0.15">
      <c r="A7" s="7" t="s">
        <v>36</v>
      </c>
      <c r="B7" s="7" t="s">
        <v>42</v>
      </c>
      <c r="C7" s="7">
        <v>32.29</v>
      </c>
      <c r="D7" s="7">
        <v>2200</v>
      </c>
      <c r="E7" s="7">
        <v>32.299999999999997</v>
      </c>
      <c r="F7" s="7">
        <v>2200</v>
      </c>
      <c r="G7" s="7" t="s">
        <v>29</v>
      </c>
      <c r="H7" s="7" t="s">
        <v>61</v>
      </c>
      <c r="I7" s="7" t="s">
        <v>62</v>
      </c>
      <c r="J7" s="7" t="s">
        <v>37</v>
      </c>
      <c r="K7" s="7" t="s">
        <v>35</v>
      </c>
      <c r="L7" s="7" t="s">
        <v>31</v>
      </c>
      <c r="M7" s="7" t="s">
        <v>32</v>
      </c>
      <c r="N7" s="7" t="s">
        <v>63</v>
      </c>
    </row>
    <row r="8" spans="1:15" x14ac:dyDescent="0.15">
      <c r="A8" s="7" t="s">
        <v>40</v>
      </c>
      <c r="B8" s="7" t="s">
        <v>42</v>
      </c>
      <c r="C8" s="7">
        <v>46.8</v>
      </c>
      <c r="D8" s="7">
        <v>1500</v>
      </c>
      <c r="E8" s="7">
        <v>46.8</v>
      </c>
      <c r="F8" s="7">
        <v>1500</v>
      </c>
      <c r="G8" s="7" t="s">
        <v>29</v>
      </c>
      <c r="H8" s="7" t="s">
        <v>64</v>
      </c>
      <c r="I8" s="7" t="s">
        <v>65</v>
      </c>
      <c r="J8" s="7" t="s">
        <v>41</v>
      </c>
      <c r="K8" s="7" t="s">
        <v>35</v>
      </c>
      <c r="L8" s="7" t="s">
        <v>31</v>
      </c>
      <c r="M8" s="7" t="s">
        <v>32</v>
      </c>
      <c r="N8" s="7" t="s">
        <v>66</v>
      </c>
    </row>
    <row r="9" spans="1:15" x14ac:dyDescent="0.15">
      <c r="A9" s="7" t="s">
        <v>38</v>
      </c>
      <c r="B9" s="7" t="s">
        <v>42</v>
      </c>
      <c r="C9" s="7">
        <v>34.69</v>
      </c>
      <c r="D9" s="7">
        <v>2000</v>
      </c>
      <c r="E9" s="7">
        <v>0</v>
      </c>
      <c r="F9" s="7">
        <v>0</v>
      </c>
      <c r="G9" s="7" t="s">
        <v>43</v>
      </c>
      <c r="H9" s="7" t="s">
        <v>67</v>
      </c>
      <c r="I9" s="7" t="s">
        <v>68</v>
      </c>
      <c r="J9" s="7" t="s">
        <v>39</v>
      </c>
      <c r="K9" s="7" t="s">
        <v>35</v>
      </c>
      <c r="L9" s="7" t="s">
        <v>31</v>
      </c>
      <c r="M9" s="7" t="s">
        <v>32</v>
      </c>
      <c r="N9" s="7" t="s">
        <v>69</v>
      </c>
    </row>
    <row r="10" spans="1:15" x14ac:dyDescent="0.15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</row>
    <row r="11" spans="1:15" x14ac:dyDescent="0.15">
      <c r="A11" s="7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</row>
    <row r="12" spans="1:15" x14ac:dyDescent="0.15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</row>
    <row r="13" spans="1:15" x14ac:dyDescent="0.15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</row>
    <row r="14" spans="1:15" x14ac:dyDescent="0.15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</row>
    <row r="15" spans="1:15" x14ac:dyDescent="0.15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</row>
    <row r="16" spans="1:15" x14ac:dyDescent="0.15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</row>
    <row r="17" spans="1:15" x14ac:dyDescent="0.15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</row>
    <row r="18" spans="1:15" x14ac:dyDescent="0.15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</row>
    <row r="19" spans="1:15" x14ac:dyDescent="0.15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>
        <f>+E19*F19/36</f>
        <v>0</v>
      </c>
    </row>
    <row r="20" spans="1:15" x14ac:dyDescent="0.15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</row>
    <row r="21" spans="1:15" x14ac:dyDescent="0.15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</row>
    <row r="22" spans="1:15" x14ac:dyDescent="0.15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</row>
    <row r="23" spans="1:15" x14ac:dyDescent="0.15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</row>
    <row r="24" spans="1:15" x14ac:dyDescent="0.15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</row>
    <row r="25" spans="1:15" x14ac:dyDescent="0.15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</row>
    <row r="26" spans="1:15" x14ac:dyDescent="0.15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</row>
    <row r="27" spans="1:15" x14ac:dyDescent="0.15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</row>
    <row r="28" spans="1:15" x14ac:dyDescent="0.15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</row>
    <row r="29" spans="1:15" x14ac:dyDescent="0.15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</row>
    <row r="30" spans="1:15" x14ac:dyDescent="0.15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</row>
    <row r="31" spans="1:15" x14ac:dyDescent="0.15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>
        <f>+E31*F31/36</f>
        <v>0</v>
      </c>
    </row>
    <row r="52" spans="15:15" x14ac:dyDescent="0.15">
      <c r="O52" s="7">
        <f>+E52*F52/36</f>
        <v>0</v>
      </c>
    </row>
  </sheetData>
  <sortState ref="A2:N62">
    <sortCondition ref="H2:H62"/>
  </sortState>
  <phoneticPr fontId="18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78"/>
  <sheetViews>
    <sheetView tabSelected="1" zoomScale="115" zoomScaleNormal="11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H12" sqref="H12"/>
    </sheetView>
  </sheetViews>
  <sheetFormatPr defaultRowHeight="13.5" x14ac:dyDescent="0.15"/>
  <cols>
    <col min="1" max="1" width="11.625" bestFit="1" customWidth="1"/>
    <col min="2" max="2" width="9.5" bestFit="1" customWidth="1"/>
  </cols>
  <sheetData>
    <row r="1" spans="1:25" x14ac:dyDescent="0.1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3" t="s">
        <v>24</v>
      </c>
    </row>
    <row r="2" spans="1:25" x14ac:dyDescent="0.15">
      <c r="A2" s="2">
        <f t="shared" ref="A2:A65" ca="1" si="0">TODAY()</f>
        <v>42916</v>
      </c>
      <c r="B2" s="5" t="str">
        <f>'20161118 当日委托查询'!H2</f>
        <v>14:58:41</v>
      </c>
      <c r="C2" s="7" t="s">
        <v>25</v>
      </c>
      <c r="D2" s="7" t="s">
        <v>26</v>
      </c>
      <c r="E2" s="7" t="s">
        <v>27</v>
      </c>
      <c r="F2" s="7"/>
      <c r="G2" s="7"/>
      <c r="H2" s="7" t="str">
        <f>'20161118 当日委托查询'!J2</f>
        <v>002008</v>
      </c>
      <c r="I2" s="7" t="str">
        <f>IF('20161118 当日委托查询'!B2="卖出","S","B")</f>
        <v>S</v>
      </c>
      <c r="J2" s="7" t="s">
        <v>28</v>
      </c>
      <c r="K2" s="7">
        <f>IF(I2="S",-1*'20161118 当日委托查询'!F2,'20161118 当日委托查询'!F2)</f>
        <v>0</v>
      </c>
      <c r="L2" s="7">
        <v>1</v>
      </c>
      <c r="M2" s="7">
        <f>'20161118 当日委托查询'!E2</f>
        <v>0</v>
      </c>
    </row>
    <row r="3" spans="1:25" x14ac:dyDescent="0.15">
      <c r="A3" s="2">
        <f t="shared" ca="1" si="0"/>
        <v>42916</v>
      </c>
      <c r="B3" s="5" t="str">
        <f>'20161118 当日委托查询'!H3</f>
        <v>14:58:14</v>
      </c>
      <c r="C3" s="7" t="s">
        <v>25</v>
      </c>
      <c r="D3" s="7" t="s">
        <v>26</v>
      </c>
      <c r="E3" s="7" t="s">
        <v>27</v>
      </c>
      <c r="F3" s="7"/>
      <c r="G3" s="7"/>
      <c r="H3" s="7" t="str">
        <f>'20161118 当日委托查询'!J3</f>
        <v>000418</v>
      </c>
      <c r="I3" s="7" t="str">
        <f>IF('20161118 当日委托查询'!B3="卖出","S","B")</f>
        <v>S</v>
      </c>
      <c r="J3" s="7" t="s">
        <v>28</v>
      </c>
      <c r="K3" s="7">
        <f>IF(I3="S",-1*'20161118 当日委托查询'!F3,'20161118 当日委托查询'!F3)</f>
        <v>-1300</v>
      </c>
      <c r="L3" s="7">
        <v>1</v>
      </c>
      <c r="M3" s="7">
        <f>'20161118 当日委托查询'!E3</f>
        <v>46.79</v>
      </c>
    </row>
    <row r="4" spans="1:25" x14ac:dyDescent="0.15">
      <c r="A4" s="2">
        <f t="shared" ca="1" si="0"/>
        <v>42916</v>
      </c>
      <c r="B4" s="5" t="str">
        <f>'20161118 当日委托查询'!H4</f>
        <v>14:56:34</v>
      </c>
      <c r="C4" s="7" t="s">
        <v>25</v>
      </c>
      <c r="D4" s="7" t="s">
        <v>26</v>
      </c>
      <c r="E4" s="7" t="s">
        <v>27</v>
      </c>
      <c r="F4" s="7"/>
      <c r="G4" s="7"/>
      <c r="H4" s="7" t="str">
        <f>'20161118 当日委托查询'!J4</f>
        <v>600660</v>
      </c>
      <c r="I4" s="7" t="str">
        <f>IF('20161118 当日委托查询'!B4="卖出","S","B")</f>
        <v>S</v>
      </c>
      <c r="J4" s="7" t="s">
        <v>28</v>
      </c>
      <c r="K4" s="7">
        <f>IF(I4="S",-1*'20161118 当日委托查询'!F4,'20161118 当日委托查询'!F4)</f>
        <v>-2000</v>
      </c>
      <c r="L4" s="7">
        <v>1</v>
      </c>
      <c r="M4" s="7">
        <f>'20161118 当日委托查询'!E4</f>
        <v>26.03</v>
      </c>
    </row>
    <row r="5" spans="1:25" x14ac:dyDescent="0.15">
      <c r="A5" s="2">
        <f t="shared" ca="1" si="0"/>
        <v>42916</v>
      </c>
      <c r="B5" s="5" t="str">
        <f>'20161118 当日委托查询'!H5</f>
        <v>14:56:21</v>
      </c>
      <c r="C5" s="7" t="s">
        <v>25</v>
      </c>
      <c r="D5" s="7" t="s">
        <v>26</v>
      </c>
      <c r="E5" s="7" t="s">
        <v>27</v>
      </c>
      <c r="F5" s="7"/>
      <c r="G5" s="7"/>
      <c r="H5" s="7" t="str">
        <f>'20161118 当日委托查询'!J5</f>
        <v>601628</v>
      </c>
      <c r="I5" s="7" t="str">
        <f>IF('20161118 当日委托查询'!B5="卖出","S","B")</f>
        <v>S</v>
      </c>
      <c r="J5" s="7" t="s">
        <v>28</v>
      </c>
      <c r="K5" s="7">
        <f>IF(I5="S",-1*'20161118 当日委托查询'!F5,'20161118 当日委托查询'!F5)</f>
        <v>-2200</v>
      </c>
      <c r="L5" s="7">
        <v>1</v>
      </c>
      <c r="M5" s="7">
        <f>'20161118 当日委托查询'!E5</f>
        <v>26.97</v>
      </c>
    </row>
    <row r="6" spans="1:25" x14ac:dyDescent="0.15">
      <c r="A6" s="2">
        <f t="shared" ca="1" si="0"/>
        <v>42916</v>
      </c>
      <c r="B6" s="5" t="str">
        <f>'20161118 当日委托查询'!H6</f>
        <v>14:56:03</v>
      </c>
      <c r="C6" s="7" t="s">
        <v>25</v>
      </c>
      <c r="D6" s="7" t="s">
        <v>26</v>
      </c>
      <c r="E6" s="7" t="s">
        <v>27</v>
      </c>
      <c r="F6" s="7"/>
      <c r="G6" s="7"/>
      <c r="H6" s="7" t="str">
        <f>'20161118 当日委托查询'!J6</f>
        <v>002008</v>
      </c>
      <c r="I6" s="7" t="str">
        <f>IF('20161118 当日委托查询'!B6="卖出","S","B")</f>
        <v>S</v>
      </c>
      <c r="J6" s="7" t="s">
        <v>28</v>
      </c>
      <c r="K6" s="7">
        <f>IF(I6="S",-1*'20161118 当日委托查询'!F6,'20161118 当日委托查询'!F6)</f>
        <v>-2200</v>
      </c>
      <c r="L6" s="7">
        <v>1</v>
      </c>
      <c r="M6" s="7">
        <f>'20161118 当日委托查询'!E6</f>
        <v>34.659999999999997</v>
      </c>
    </row>
    <row r="7" spans="1:25" x14ac:dyDescent="0.15">
      <c r="A7" s="2">
        <f t="shared" ca="1" si="0"/>
        <v>42916</v>
      </c>
      <c r="B7" s="5" t="str">
        <f>'20161118 当日委托查询'!H7</f>
        <v>14:55:27</v>
      </c>
      <c r="C7" s="7" t="s">
        <v>25</v>
      </c>
      <c r="D7" s="7" t="s">
        <v>26</v>
      </c>
      <c r="E7" s="7" t="s">
        <v>27</v>
      </c>
      <c r="F7" s="7"/>
      <c r="G7" s="7"/>
      <c r="H7" s="7" t="str">
        <f>'20161118 当日委托查询'!J7</f>
        <v>002415</v>
      </c>
      <c r="I7" s="7" t="str">
        <f>IF('20161118 当日委托查询'!B7="卖出","S","B")</f>
        <v>S</v>
      </c>
      <c r="J7" s="7" t="s">
        <v>28</v>
      </c>
      <c r="K7" s="7">
        <f>IF(I7="S",-1*'20161118 当日委托查询'!F7,'20161118 当日委托查询'!F7)</f>
        <v>-2200</v>
      </c>
      <c r="L7" s="7">
        <v>1</v>
      </c>
      <c r="M7" s="7">
        <f>'20161118 当日委托查询'!E7</f>
        <v>32.299999999999997</v>
      </c>
    </row>
    <row r="8" spans="1:25" x14ac:dyDescent="0.15">
      <c r="A8" s="2">
        <f t="shared" ca="1" si="0"/>
        <v>42916</v>
      </c>
      <c r="B8" s="5" t="str">
        <f>'20161118 当日委托查询'!H8</f>
        <v>14:55:15</v>
      </c>
      <c r="C8" s="7" t="s">
        <v>25</v>
      </c>
      <c r="D8" s="7" t="s">
        <v>26</v>
      </c>
      <c r="E8" s="7" t="s">
        <v>27</v>
      </c>
      <c r="F8" s="7"/>
      <c r="G8" s="7"/>
      <c r="H8" s="7" t="str">
        <f>'20161118 当日委托查询'!J8</f>
        <v>000418</v>
      </c>
      <c r="I8" s="7" t="str">
        <f>IF('20161118 当日委托查询'!B8="卖出","S","B")</f>
        <v>S</v>
      </c>
      <c r="J8" s="7" t="s">
        <v>28</v>
      </c>
      <c r="K8" s="7">
        <f>IF(I8="S",-1*'20161118 当日委托查询'!F8,'20161118 当日委托查询'!F8)</f>
        <v>-1500</v>
      </c>
      <c r="L8" s="7">
        <v>1</v>
      </c>
      <c r="M8" s="7">
        <f>'20161118 当日委托查询'!E8</f>
        <v>46.8</v>
      </c>
    </row>
    <row r="9" spans="1:25" x14ac:dyDescent="0.15">
      <c r="A9" s="2">
        <f t="shared" ca="1" si="0"/>
        <v>42916</v>
      </c>
      <c r="B9" s="5" t="str">
        <f>'20161118 当日委托查询'!H9</f>
        <v>14:55:03</v>
      </c>
      <c r="C9" s="7" t="s">
        <v>25</v>
      </c>
      <c r="D9" s="7" t="s">
        <v>26</v>
      </c>
      <c r="E9" s="7" t="s">
        <v>27</v>
      </c>
      <c r="F9" s="7"/>
      <c r="G9" s="7"/>
      <c r="H9" s="7" t="str">
        <f>'20161118 当日委托查询'!J9</f>
        <v>002008</v>
      </c>
      <c r="I9" s="7" t="str">
        <f>IF('20161118 当日委托查询'!B9="卖出","S","B")</f>
        <v>S</v>
      </c>
      <c r="J9" s="7" t="s">
        <v>28</v>
      </c>
      <c r="K9" s="7">
        <f>IF(I9="S",-1*'20161118 当日委托查询'!F9,'20161118 当日委托查询'!F9)</f>
        <v>0</v>
      </c>
      <c r="L9" s="7">
        <v>1</v>
      </c>
      <c r="M9" s="7">
        <f>'20161118 当日委托查询'!E9</f>
        <v>0</v>
      </c>
    </row>
    <row r="10" spans="1:25" x14ac:dyDescent="0.15">
      <c r="A10" s="2">
        <f t="shared" ca="1" si="0"/>
        <v>42916</v>
      </c>
      <c r="B10" s="5">
        <f>'20161118 当日委托查询'!H10</f>
        <v>0</v>
      </c>
      <c r="C10" s="7" t="s">
        <v>25</v>
      </c>
      <c r="D10" s="7" t="s">
        <v>26</v>
      </c>
      <c r="E10" s="7" t="s">
        <v>27</v>
      </c>
      <c r="F10" s="7"/>
      <c r="G10" s="7"/>
      <c r="H10" s="7">
        <f>'20161118 当日委托查询'!J10</f>
        <v>0</v>
      </c>
      <c r="I10" s="7" t="str">
        <f>IF('20161118 当日委托查询'!B10="卖出","S","B")</f>
        <v>B</v>
      </c>
      <c r="J10" s="7" t="s">
        <v>28</v>
      </c>
      <c r="K10" s="7">
        <f>IF(I10="S",-1*'20161118 当日委托查询'!F10,'20161118 当日委托查询'!F10)</f>
        <v>0</v>
      </c>
      <c r="L10" s="7">
        <v>1</v>
      </c>
      <c r="M10" s="7">
        <f>'20161118 当日委托查询'!E10</f>
        <v>0</v>
      </c>
    </row>
    <row r="11" spans="1:25" x14ac:dyDescent="0.15">
      <c r="A11" s="2">
        <f t="shared" ca="1" si="0"/>
        <v>42916</v>
      </c>
      <c r="B11" s="5">
        <f>'20161118 当日委托查询'!H11</f>
        <v>0</v>
      </c>
      <c r="C11" s="7" t="s">
        <v>25</v>
      </c>
      <c r="D11" s="7" t="s">
        <v>26</v>
      </c>
      <c r="E11" s="7" t="s">
        <v>27</v>
      </c>
      <c r="F11" s="7"/>
      <c r="G11" s="7"/>
      <c r="H11" s="7">
        <f>'20161118 当日委托查询'!J11</f>
        <v>0</v>
      </c>
      <c r="I11" s="7" t="str">
        <f>IF('20161118 当日委托查询'!B11="卖出","S","B")</f>
        <v>B</v>
      </c>
      <c r="J11" s="7" t="s">
        <v>28</v>
      </c>
      <c r="K11" s="7">
        <f>IF(I11="S",-1*'20161118 当日委托查询'!F11,'20161118 当日委托查询'!F11)</f>
        <v>0</v>
      </c>
      <c r="L11" s="7">
        <v>1</v>
      </c>
      <c r="M11" s="7">
        <f>'20161118 当日委托查询'!E11</f>
        <v>0</v>
      </c>
    </row>
    <row r="12" spans="1:25" x14ac:dyDescent="0.15">
      <c r="A12" s="2">
        <f t="shared" ca="1" si="0"/>
        <v>42916</v>
      </c>
      <c r="B12" s="5">
        <f>'20161118 当日委托查询'!H12</f>
        <v>0</v>
      </c>
      <c r="C12" s="7" t="s">
        <v>25</v>
      </c>
      <c r="D12" s="7" t="s">
        <v>26</v>
      </c>
      <c r="E12" s="7" t="s">
        <v>27</v>
      </c>
      <c r="F12" s="7"/>
      <c r="G12" s="7"/>
      <c r="H12" s="7">
        <f>'20161118 当日委托查询'!J12</f>
        <v>0</v>
      </c>
      <c r="I12" s="7" t="str">
        <f>IF('20161118 当日委托查询'!B12="卖出","S","B")</f>
        <v>B</v>
      </c>
      <c r="J12" s="7" t="s">
        <v>28</v>
      </c>
      <c r="K12" s="7">
        <f>IF(I12="S",-1*'20161118 当日委托查询'!F12,'20161118 当日委托查询'!F12)</f>
        <v>0</v>
      </c>
      <c r="L12" s="7">
        <v>1</v>
      </c>
      <c r="M12" s="7">
        <f>'20161118 当日委托查询'!E12</f>
        <v>0</v>
      </c>
    </row>
    <row r="13" spans="1:25" x14ac:dyDescent="0.15">
      <c r="A13" s="2">
        <f t="shared" ca="1" si="0"/>
        <v>42916</v>
      </c>
      <c r="B13" s="5">
        <f>'20161118 当日委托查询'!H13</f>
        <v>0</v>
      </c>
      <c r="C13" s="7" t="s">
        <v>25</v>
      </c>
      <c r="D13" s="7" t="s">
        <v>26</v>
      </c>
      <c r="E13" s="7" t="s">
        <v>27</v>
      </c>
      <c r="F13" s="7"/>
      <c r="G13" s="7"/>
      <c r="H13" s="7">
        <f>'20161118 当日委托查询'!J13</f>
        <v>0</v>
      </c>
      <c r="I13" s="7" t="str">
        <f>IF('20161118 当日委托查询'!B13="卖出","S","B")</f>
        <v>B</v>
      </c>
      <c r="J13" s="7" t="s">
        <v>28</v>
      </c>
      <c r="K13" s="7">
        <f>IF(I13="S",-1*'20161118 当日委托查询'!F13,'20161118 当日委托查询'!F13)</f>
        <v>0</v>
      </c>
      <c r="L13" s="7">
        <v>1</v>
      </c>
      <c r="M13" s="7">
        <f>'20161118 当日委托查询'!E13</f>
        <v>0</v>
      </c>
    </row>
    <row r="14" spans="1:25" x14ac:dyDescent="0.15">
      <c r="A14" s="2">
        <f t="shared" ca="1" si="0"/>
        <v>42916</v>
      </c>
      <c r="B14" s="5">
        <f>'20161118 当日委托查询'!H14</f>
        <v>0</v>
      </c>
      <c r="C14" s="7" t="s">
        <v>25</v>
      </c>
      <c r="D14" s="7" t="s">
        <v>26</v>
      </c>
      <c r="E14" s="7" t="s">
        <v>27</v>
      </c>
      <c r="F14" s="7"/>
      <c r="G14" s="7"/>
      <c r="H14" s="7">
        <f>'20161118 当日委托查询'!J14</f>
        <v>0</v>
      </c>
      <c r="I14" s="7" t="str">
        <f>IF('20161118 当日委托查询'!B14="卖出","S","B")</f>
        <v>B</v>
      </c>
      <c r="J14" s="7" t="s">
        <v>28</v>
      </c>
      <c r="K14" s="7">
        <f>IF(I14="S",-1*'20161118 当日委托查询'!F14,'20161118 当日委托查询'!F14)</f>
        <v>0</v>
      </c>
      <c r="L14" s="7">
        <v>1</v>
      </c>
      <c r="M14" s="7">
        <f>'20161118 当日委托查询'!E14</f>
        <v>0</v>
      </c>
    </row>
    <row r="15" spans="1:25" x14ac:dyDescent="0.15">
      <c r="A15" s="2">
        <f t="shared" ca="1" si="0"/>
        <v>42916</v>
      </c>
      <c r="B15" s="5">
        <f>'20161118 当日委托查询'!H15</f>
        <v>0</v>
      </c>
      <c r="C15" s="7" t="s">
        <v>25</v>
      </c>
      <c r="D15" s="7" t="s">
        <v>26</v>
      </c>
      <c r="E15" s="7" t="s">
        <v>27</v>
      </c>
      <c r="F15" s="7"/>
      <c r="G15" s="7"/>
      <c r="H15" s="7">
        <f>'20161118 当日委托查询'!J15</f>
        <v>0</v>
      </c>
      <c r="I15" s="7" t="str">
        <f>IF('20161118 当日委托查询'!B15="卖出","S","B")</f>
        <v>B</v>
      </c>
      <c r="J15" s="7" t="s">
        <v>28</v>
      </c>
      <c r="K15" s="7">
        <f>IF(I15="S",-1*'20161118 当日委托查询'!F15,'20161118 当日委托查询'!F15)</f>
        <v>0</v>
      </c>
      <c r="L15" s="7">
        <v>1</v>
      </c>
      <c r="M15" s="7">
        <f>'20161118 当日委托查询'!E15</f>
        <v>0</v>
      </c>
    </row>
    <row r="16" spans="1:25" x14ac:dyDescent="0.15">
      <c r="A16" s="2">
        <f t="shared" ca="1" si="0"/>
        <v>42916</v>
      </c>
      <c r="B16" s="5">
        <f>'20161118 当日委托查询'!H16</f>
        <v>0</v>
      </c>
      <c r="C16" s="7" t="s">
        <v>25</v>
      </c>
      <c r="D16" s="7" t="s">
        <v>26</v>
      </c>
      <c r="E16" s="7" t="s">
        <v>27</v>
      </c>
      <c r="F16" s="7"/>
      <c r="G16" s="7"/>
      <c r="H16" s="7">
        <f>'20161118 当日委托查询'!J16</f>
        <v>0</v>
      </c>
      <c r="I16" s="7" t="str">
        <f>IF('20161118 当日委托查询'!B16="卖出","S","B")</f>
        <v>B</v>
      </c>
      <c r="J16" s="7" t="s">
        <v>28</v>
      </c>
      <c r="K16" s="7">
        <f>IF(I16="S",-1*'20161118 当日委托查询'!F16,'20161118 当日委托查询'!F16)</f>
        <v>0</v>
      </c>
      <c r="L16" s="7">
        <v>1</v>
      </c>
      <c r="M16" s="7">
        <f>'20161118 当日委托查询'!E16</f>
        <v>0</v>
      </c>
    </row>
    <row r="17" spans="1:13" x14ac:dyDescent="0.15">
      <c r="A17" s="2">
        <f t="shared" ca="1" si="0"/>
        <v>42916</v>
      </c>
      <c r="B17" s="5">
        <f>'20161118 当日委托查询'!H17</f>
        <v>0</v>
      </c>
      <c r="C17" s="7" t="s">
        <v>25</v>
      </c>
      <c r="D17" s="7" t="s">
        <v>26</v>
      </c>
      <c r="E17" s="7" t="s">
        <v>27</v>
      </c>
      <c r="F17" s="7"/>
      <c r="G17" s="7"/>
      <c r="H17" s="7">
        <f>'20161118 当日委托查询'!J17</f>
        <v>0</v>
      </c>
      <c r="I17" s="7" t="str">
        <f>IF('20161118 当日委托查询'!B17="卖出","S","B")</f>
        <v>B</v>
      </c>
      <c r="J17" s="7" t="s">
        <v>28</v>
      </c>
      <c r="K17" s="7">
        <f>IF(I17="S",-1*'20161118 当日委托查询'!F17,'20161118 当日委托查询'!F17)</f>
        <v>0</v>
      </c>
      <c r="L17" s="7">
        <v>1</v>
      </c>
      <c r="M17" s="7">
        <f>'20161118 当日委托查询'!E17</f>
        <v>0</v>
      </c>
    </row>
    <row r="18" spans="1:13" x14ac:dyDescent="0.15">
      <c r="A18" s="2">
        <f t="shared" ca="1" si="0"/>
        <v>42916</v>
      </c>
      <c r="B18" s="5">
        <f>'20161118 当日委托查询'!H18</f>
        <v>0</v>
      </c>
      <c r="C18" s="7" t="s">
        <v>25</v>
      </c>
      <c r="D18" s="7" t="s">
        <v>26</v>
      </c>
      <c r="E18" s="7" t="s">
        <v>27</v>
      </c>
      <c r="F18" s="7"/>
      <c r="G18" s="7"/>
      <c r="H18" s="7">
        <f>'20161118 当日委托查询'!J18</f>
        <v>0</v>
      </c>
      <c r="I18" s="7" t="str">
        <f>IF('20161118 当日委托查询'!B18="卖出","S","B")</f>
        <v>B</v>
      </c>
      <c r="J18" s="7" t="s">
        <v>28</v>
      </c>
      <c r="K18" s="7">
        <f>IF(I18="S",-1*'20161118 当日委托查询'!F18,'20161118 当日委托查询'!F18)</f>
        <v>0</v>
      </c>
      <c r="L18" s="7">
        <v>1</v>
      </c>
      <c r="M18" s="7">
        <f>'20161118 当日委托查询'!E18</f>
        <v>0</v>
      </c>
    </row>
    <row r="19" spans="1:13" x14ac:dyDescent="0.15">
      <c r="A19" s="2">
        <f t="shared" ca="1" si="0"/>
        <v>42916</v>
      </c>
      <c r="B19" s="5">
        <f>'20161118 当日委托查询'!H19</f>
        <v>0</v>
      </c>
      <c r="C19" s="7" t="s">
        <v>25</v>
      </c>
      <c r="D19" s="7" t="s">
        <v>26</v>
      </c>
      <c r="E19" s="7" t="s">
        <v>27</v>
      </c>
      <c r="F19" s="7"/>
      <c r="G19" s="7"/>
      <c r="H19" s="7">
        <f>'20161118 当日委托查询'!J19</f>
        <v>0</v>
      </c>
      <c r="I19" s="7" t="str">
        <f>IF('20161118 当日委托查询'!B19="卖出","S","B")</f>
        <v>B</v>
      </c>
      <c r="J19" s="7" t="s">
        <v>28</v>
      </c>
      <c r="K19" s="7">
        <f>IF(I19="S",-1*'20161118 当日委托查询'!F19,'20161118 当日委托查询'!F19)</f>
        <v>0</v>
      </c>
      <c r="L19" s="7">
        <v>1</v>
      </c>
      <c r="M19" s="7">
        <f>'20161118 当日委托查询'!E19</f>
        <v>0</v>
      </c>
    </row>
    <row r="20" spans="1:13" x14ac:dyDescent="0.15">
      <c r="A20" s="2">
        <f t="shared" ca="1" si="0"/>
        <v>42916</v>
      </c>
      <c r="B20" s="5">
        <f>'20161118 当日委托查询'!H20</f>
        <v>0</v>
      </c>
      <c r="C20" s="7" t="s">
        <v>25</v>
      </c>
      <c r="D20" s="7" t="s">
        <v>26</v>
      </c>
      <c r="E20" s="7" t="s">
        <v>27</v>
      </c>
      <c r="F20" s="7"/>
      <c r="G20" s="7"/>
      <c r="H20" s="7">
        <f>'20161118 当日委托查询'!J20</f>
        <v>0</v>
      </c>
      <c r="I20" s="7" t="str">
        <f>IF('20161118 当日委托查询'!B20="卖出","S","B")</f>
        <v>B</v>
      </c>
      <c r="J20" s="7" t="s">
        <v>28</v>
      </c>
      <c r="K20" s="7">
        <f>IF(I20="S",-1*'20161118 当日委托查询'!F20,'20161118 当日委托查询'!F20)</f>
        <v>0</v>
      </c>
      <c r="L20" s="7">
        <v>1</v>
      </c>
      <c r="M20" s="7">
        <f>'20161118 当日委托查询'!E20</f>
        <v>0</v>
      </c>
    </row>
    <row r="21" spans="1:13" x14ac:dyDescent="0.15">
      <c r="A21" s="2">
        <f t="shared" ca="1" si="0"/>
        <v>42916</v>
      </c>
      <c r="B21" s="5">
        <f>'20161118 当日委托查询'!H21</f>
        <v>0</v>
      </c>
      <c r="C21" s="7" t="s">
        <v>25</v>
      </c>
      <c r="D21" s="7" t="s">
        <v>26</v>
      </c>
      <c r="E21" s="7" t="s">
        <v>27</v>
      </c>
      <c r="F21" s="7"/>
      <c r="G21" s="7"/>
      <c r="H21" s="7">
        <f>'20161118 当日委托查询'!J21</f>
        <v>0</v>
      </c>
      <c r="I21" s="7" t="str">
        <f>IF('20161118 当日委托查询'!B21="卖出","S","B")</f>
        <v>B</v>
      </c>
      <c r="J21" s="7" t="s">
        <v>28</v>
      </c>
      <c r="K21" s="7">
        <f>IF(I21="S",-1*'20161118 当日委托查询'!F21,'20161118 当日委托查询'!F21)</f>
        <v>0</v>
      </c>
      <c r="L21" s="7">
        <v>1</v>
      </c>
      <c r="M21" s="7">
        <f>'20161118 当日委托查询'!E21</f>
        <v>0</v>
      </c>
    </row>
    <row r="22" spans="1:13" x14ac:dyDescent="0.15">
      <c r="A22" s="2">
        <f t="shared" ca="1" si="0"/>
        <v>42916</v>
      </c>
      <c r="B22" s="5">
        <f>'20161118 当日委托查询'!H22</f>
        <v>0</v>
      </c>
      <c r="C22" s="7" t="s">
        <v>25</v>
      </c>
      <c r="D22" s="7" t="s">
        <v>26</v>
      </c>
      <c r="E22" s="7" t="s">
        <v>27</v>
      </c>
      <c r="F22" s="7"/>
      <c r="G22" s="7"/>
      <c r="H22" s="7">
        <f>'20161118 当日委托查询'!J22</f>
        <v>0</v>
      </c>
      <c r="I22" s="7" t="str">
        <f>IF('20161118 当日委托查询'!B22="卖出","S","B")</f>
        <v>B</v>
      </c>
      <c r="J22" s="7" t="s">
        <v>28</v>
      </c>
      <c r="K22" s="7">
        <f>IF(I22="S",-1*'20161118 当日委托查询'!F22,'20161118 当日委托查询'!F22)</f>
        <v>0</v>
      </c>
      <c r="L22" s="7">
        <v>1</v>
      </c>
      <c r="M22" s="7">
        <f>'20161118 当日委托查询'!E22</f>
        <v>0</v>
      </c>
    </row>
    <row r="23" spans="1:13" x14ac:dyDescent="0.15">
      <c r="A23" s="2">
        <f t="shared" ca="1" si="0"/>
        <v>42916</v>
      </c>
      <c r="B23" s="5">
        <f>'20161118 当日委托查询'!H23</f>
        <v>0</v>
      </c>
      <c r="C23" s="7" t="s">
        <v>25</v>
      </c>
      <c r="D23" s="7" t="s">
        <v>26</v>
      </c>
      <c r="E23" s="7" t="s">
        <v>27</v>
      </c>
      <c r="F23" s="7"/>
      <c r="G23" s="7"/>
      <c r="H23" s="7">
        <f>'20161118 当日委托查询'!J23</f>
        <v>0</v>
      </c>
      <c r="I23" s="7" t="str">
        <f>IF('20161118 当日委托查询'!B23="卖出","S","B")</f>
        <v>B</v>
      </c>
      <c r="J23" s="7" t="s">
        <v>28</v>
      </c>
      <c r="K23" s="7">
        <f>IF(I23="S",-1*'20161118 当日委托查询'!F23,'20161118 当日委托查询'!F23)</f>
        <v>0</v>
      </c>
      <c r="L23" s="7">
        <v>1</v>
      </c>
      <c r="M23" s="7">
        <f>'20161118 当日委托查询'!E23</f>
        <v>0</v>
      </c>
    </row>
    <row r="24" spans="1:13" x14ac:dyDescent="0.15">
      <c r="A24" s="2">
        <f t="shared" ca="1" si="0"/>
        <v>42916</v>
      </c>
      <c r="B24" s="5">
        <f>'20161118 当日委托查询'!H24</f>
        <v>0</v>
      </c>
      <c r="C24" s="7" t="s">
        <v>25</v>
      </c>
      <c r="D24" s="7" t="s">
        <v>26</v>
      </c>
      <c r="E24" s="7" t="s">
        <v>27</v>
      </c>
      <c r="F24" s="7"/>
      <c r="G24" s="7"/>
      <c r="H24" s="7">
        <f>'20161118 当日委托查询'!J24</f>
        <v>0</v>
      </c>
      <c r="I24" s="7" t="str">
        <f>IF('20161118 当日委托查询'!B24="卖出","S","B")</f>
        <v>B</v>
      </c>
      <c r="J24" s="7" t="s">
        <v>28</v>
      </c>
      <c r="K24" s="7">
        <f>IF(I24="S",-1*'20161118 当日委托查询'!F24,'20161118 当日委托查询'!F24)</f>
        <v>0</v>
      </c>
      <c r="L24" s="7">
        <v>1</v>
      </c>
      <c r="M24" s="7">
        <f>'20161118 当日委托查询'!E24</f>
        <v>0</v>
      </c>
    </row>
    <row r="25" spans="1:13" x14ac:dyDescent="0.15">
      <c r="A25" s="2">
        <f t="shared" ca="1" si="0"/>
        <v>42916</v>
      </c>
      <c r="B25" s="5">
        <f>'20161118 当日委托查询'!H25</f>
        <v>0</v>
      </c>
      <c r="C25" s="7" t="s">
        <v>25</v>
      </c>
      <c r="D25" s="7" t="s">
        <v>26</v>
      </c>
      <c r="E25" s="7" t="s">
        <v>27</v>
      </c>
      <c r="F25" s="7"/>
      <c r="G25" s="7"/>
      <c r="H25" s="7">
        <f>'20161118 当日委托查询'!J25</f>
        <v>0</v>
      </c>
      <c r="I25" s="7" t="str">
        <f>IF('20161118 当日委托查询'!B25="卖出","S","B")</f>
        <v>B</v>
      </c>
      <c r="J25" s="7" t="s">
        <v>28</v>
      </c>
      <c r="K25" s="7">
        <f>IF(I25="S",-1*'20161118 当日委托查询'!F25,'20161118 当日委托查询'!F25)</f>
        <v>0</v>
      </c>
      <c r="L25" s="7">
        <v>1</v>
      </c>
      <c r="M25" s="7">
        <f>'20161118 当日委托查询'!E25</f>
        <v>0</v>
      </c>
    </row>
    <row r="26" spans="1:13" x14ac:dyDescent="0.15">
      <c r="A26" s="2">
        <f t="shared" ca="1" si="0"/>
        <v>42916</v>
      </c>
      <c r="B26" s="5">
        <f>'20161118 当日委托查询'!H26</f>
        <v>0</v>
      </c>
      <c r="C26" s="7" t="s">
        <v>25</v>
      </c>
      <c r="D26" s="7" t="s">
        <v>26</v>
      </c>
      <c r="E26" s="7" t="s">
        <v>27</v>
      </c>
      <c r="F26" s="7"/>
      <c r="G26" s="7"/>
      <c r="H26" s="7">
        <f>'20161118 当日委托查询'!J26</f>
        <v>0</v>
      </c>
      <c r="I26" s="7" t="str">
        <f>IF('20161118 当日委托查询'!B26="卖出","S","B")</f>
        <v>B</v>
      </c>
      <c r="J26" s="7" t="s">
        <v>28</v>
      </c>
      <c r="K26" s="7">
        <f>IF(I26="S",-1*'20161118 当日委托查询'!F26,'20161118 当日委托查询'!F26)</f>
        <v>0</v>
      </c>
      <c r="L26" s="7">
        <v>1</v>
      </c>
      <c r="M26" s="7">
        <f>'20161118 当日委托查询'!E26</f>
        <v>0</v>
      </c>
    </row>
    <row r="27" spans="1:13" x14ac:dyDescent="0.15">
      <c r="A27" s="2">
        <f t="shared" ca="1" si="0"/>
        <v>42916</v>
      </c>
      <c r="B27" s="5">
        <f>'20161118 当日委托查询'!H27</f>
        <v>0</v>
      </c>
      <c r="C27" s="7" t="s">
        <v>25</v>
      </c>
      <c r="D27" s="7" t="s">
        <v>26</v>
      </c>
      <c r="E27" s="7" t="s">
        <v>27</v>
      </c>
      <c r="F27" s="7"/>
      <c r="G27" s="7"/>
      <c r="H27" s="7">
        <f>'20161118 当日委托查询'!J27</f>
        <v>0</v>
      </c>
      <c r="I27" s="7" t="str">
        <f>IF('20161118 当日委托查询'!B27="卖出","S","B")</f>
        <v>B</v>
      </c>
      <c r="J27" s="7" t="s">
        <v>28</v>
      </c>
      <c r="K27" s="7">
        <f>IF(I27="S",-1*'20161118 当日委托查询'!F27,'20161118 当日委托查询'!F27)</f>
        <v>0</v>
      </c>
      <c r="L27" s="7">
        <v>1</v>
      </c>
      <c r="M27" s="7">
        <f>'20161118 当日委托查询'!E27</f>
        <v>0</v>
      </c>
    </row>
    <row r="28" spans="1:13" x14ac:dyDescent="0.15">
      <c r="A28" s="2">
        <f t="shared" ca="1" si="0"/>
        <v>42916</v>
      </c>
      <c r="B28" s="5">
        <f>'20161118 当日委托查询'!H28</f>
        <v>0</v>
      </c>
      <c r="C28" s="7" t="s">
        <v>25</v>
      </c>
      <c r="D28" s="7" t="s">
        <v>26</v>
      </c>
      <c r="E28" s="7" t="s">
        <v>27</v>
      </c>
      <c r="F28" s="7"/>
      <c r="G28" s="7"/>
      <c r="H28" s="7">
        <f>'20161118 当日委托查询'!J28</f>
        <v>0</v>
      </c>
      <c r="I28" s="7" t="str">
        <f>IF('20161118 当日委托查询'!B28="卖出","S","B")</f>
        <v>B</v>
      </c>
      <c r="J28" s="7" t="s">
        <v>28</v>
      </c>
      <c r="K28" s="7">
        <f>IF(I28="S",-1*'20161118 当日委托查询'!F28,'20161118 当日委托查询'!F28)</f>
        <v>0</v>
      </c>
      <c r="L28" s="7">
        <v>1</v>
      </c>
      <c r="M28" s="7">
        <f>'20161118 当日委托查询'!E28</f>
        <v>0</v>
      </c>
    </row>
    <row r="29" spans="1:13" x14ac:dyDescent="0.15">
      <c r="A29" s="2">
        <f t="shared" ca="1" si="0"/>
        <v>42916</v>
      </c>
      <c r="B29" s="5">
        <f>'20161118 当日委托查询'!H29</f>
        <v>0</v>
      </c>
      <c r="C29" s="7" t="s">
        <v>25</v>
      </c>
      <c r="D29" s="7" t="s">
        <v>26</v>
      </c>
      <c r="E29" s="7" t="s">
        <v>27</v>
      </c>
      <c r="F29" s="7"/>
      <c r="G29" s="7"/>
      <c r="H29" s="7">
        <f>'20161118 当日委托查询'!J29</f>
        <v>0</v>
      </c>
      <c r="I29" s="7" t="str">
        <f>IF('20161118 当日委托查询'!B29="卖出","S","B")</f>
        <v>B</v>
      </c>
      <c r="J29" s="7" t="s">
        <v>28</v>
      </c>
      <c r="K29" s="7">
        <f>IF(I29="S",-1*'20161118 当日委托查询'!F29,'20161118 当日委托查询'!F29)</f>
        <v>0</v>
      </c>
      <c r="L29" s="7">
        <v>1</v>
      </c>
      <c r="M29" s="7">
        <f>'20161118 当日委托查询'!E29</f>
        <v>0</v>
      </c>
    </row>
    <row r="30" spans="1:13" x14ac:dyDescent="0.15">
      <c r="A30" s="2">
        <f t="shared" ca="1" si="0"/>
        <v>42916</v>
      </c>
      <c r="B30" s="5">
        <f>'20161118 当日委托查询'!H30</f>
        <v>0</v>
      </c>
      <c r="C30" s="7" t="s">
        <v>25</v>
      </c>
      <c r="D30" s="7" t="s">
        <v>26</v>
      </c>
      <c r="E30" s="7" t="s">
        <v>27</v>
      </c>
      <c r="F30" s="7"/>
      <c r="G30" s="7"/>
      <c r="H30" s="7">
        <f>'20161118 当日委托查询'!J30</f>
        <v>0</v>
      </c>
      <c r="I30" s="7" t="str">
        <f>IF('20161118 当日委托查询'!B30="卖出","S","B")</f>
        <v>B</v>
      </c>
      <c r="J30" s="7" t="s">
        <v>28</v>
      </c>
      <c r="K30" s="7">
        <f>IF(I30="S",-1*'20161118 当日委托查询'!F30,'20161118 当日委托查询'!F30)</f>
        <v>0</v>
      </c>
      <c r="L30" s="7">
        <v>1</v>
      </c>
      <c r="M30" s="7">
        <f>'20161118 当日委托查询'!E30</f>
        <v>0</v>
      </c>
    </row>
    <row r="31" spans="1:13" x14ac:dyDescent="0.15">
      <c r="A31" s="2">
        <f t="shared" ca="1" si="0"/>
        <v>42916</v>
      </c>
      <c r="B31" s="5">
        <f>'20161118 当日委托查询'!H31</f>
        <v>0</v>
      </c>
      <c r="C31" s="7" t="s">
        <v>25</v>
      </c>
      <c r="D31" s="7" t="s">
        <v>26</v>
      </c>
      <c r="E31" s="7" t="s">
        <v>27</v>
      </c>
      <c r="F31" s="7"/>
      <c r="G31" s="7"/>
      <c r="H31" s="7">
        <f>'20161118 当日委托查询'!J31</f>
        <v>0</v>
      </c>
      <c r="I31" s="7" t="str">
        <f>IF('20161118 当日委托查询'!B31="卖出","S","B")</f>
        <v>B</v>
      </c>
      <c r="J31" s="7" t="s">
        <v>28</v>
      </c>
      <c r="K31" s="7">
        <f>IF(I31="S",-1*'20161118 当日委托查询'!F31,'20161118 当日委托查询'!F31)</f>
        <v>0</v>
      </c>
      <c r="L31" s="7">
        <v>1</v>
      </c>
      <c r="M31" s="7">
        <f>'20161118 当日委托查询'!E31</f>
        <v>0</v>
      </c>
    </row>
    <row r="32" spans="1:13" x14ac:dyDescent="0.15">
      <c r="A32" s="2">
        <f t="shared" ca="1" si="0"/>
        <v>42916</v>
      </c>
      <c r="B32" s="5">
        <f>'20161118 当日委托查询'!H32</f>
        <v>0</v>
      </c>
      <c r="C32" s="7" t="s">
        <v>25</v>
      </c>
      <c r="D32" s="7" t="s">
        <v>26</v>
      </c>
      <c r="E32" s="7" t="s">
        <v>27</v>
      </c>
      <c r="F32" s="7"/>
      <c r="G32" s="7"/>
      <c r="H32" s="7">
        <f>'20161118 当日委托查询'!J32</f>
        <v>0</v>
      </c>
      <c r="I32" s="7" t="str">
        <f>IF('20161118 当日委托查询'!B32="卖出","S","B")</f>
        <v>B</v>
      </c>
      <c r="J32" s="7" t="s">
        <v>28</v>
      </c>
      <c r="K32" s="7">
        <f>IF(I32="S",-1*'20161118 当日委托查询'!F32,'20161118 当日委托查询'!F32)</f>
        <v>0</v>
      </c>
      <c r="L32" s="7">
        <v>1</v>
      </c>
      <c r="M32" s="7">
        <f>'20161118 当日委托查询'!E32</f>
        <v>0</v>
      </c>
    </row>
    <row r="33" spans="1:13" x14ac:dyDescent="0.15">
      <c r="A33" s="2">
        <f t="shared" ca="1" si="0"/>
        <v>42916</v>
      </c>
      <c r="B33" s="5">
        <f>'20161118 当日委托查询'!H33</f>
        <v>0</v>
      </c>
      <c r="C33" s="7" t="s">
        <v>25</v>
      </c>
      <c r="D33" s="7" t="s">
        <v>26</v>
      </c>
      <c r="E33" s="7" t="s">
        <v>27</v>
      </c>
      <c r="F33" s="7"/>
      <c r="G33" s="7"/>
      <c r="H33" s="7">
        <f>'20161118 当日委托查询'!J33</f>
        <v>0</v>
      </c>
      <c r="I33" s="7" t="str">
        <f>IF('20161118 当日委托查询'!B33="卖出","S","B")</f>
        <v>B</v>
      </c>
      <c r="J33" s="7" t="s">
        <v>28</v>
      </c>
      <c r="K33" s="7">
        <f>IF(I33="S",-1*'20161118 当日委托查询'!F33,'20161118 当日委托查询'!F33)</f>
        <v>0</v>
      </c>
      <c r="L33" s="7">
        <v>1</v>
      </c>
      <c r="M33" s="7">
        <f>'20161118 当日委托查询'!E33</f>
        <v>0</v>
      </c>
    </row>
    <row r="34" spans="1:13" x14ac:dyDescent="0.15">
      <c r="A34" s="2">
        <f t="shared" ca="1" si="0"/>
        <v>42916</v>
      </c>
      <c r="B34" s="5">
        <f>'20161118 当日委托查询'!H34</f>
        <v>0</v>
      </c>
      <c r="C34" s="7" t="s">
        <v>25</v>
      </c>
      <c r="D34" s="7" t="s">
        <v>26</v>
      </c>
      <c r="E34" s="7" t="s">
        <v>27</v>
      </c>
      <c r="F34" s="7"/>
      <c r="G34" s="7"/>
      <c r="H34" s="7">
        <f>'20161118 当日委托查询'!J34</f>
        <v>0</v>
      </c>
      <c r="I34" s="7" t="str">
        <f>IF('20161118 当日委托查询'!B34="卖出","S","B")</f>
        <v>B</v>
      </c>
      <c r="J34" s="7" t="s">
        <v>28</v>
      </c>
      <c r="K34" s="7">
        <f>IF(I34="S",-1*'20161118 当日委托查询'!F34,'20161118 当日委托查询'!F34)</f>
        <v>0</v>
      </c>
      <c r="L34" s="7">
        <v>1</v>
      </c>
      <c r="M34" s="7">
        <f>'20161118 当日委托查询'!E34</f>
        <v>0</v>
      </c>
    </row>
    <row r="35" spans="1:13" x14ac:dyDescent="0.15">
      <c r="A35" s="2">
        <f t="shared" ca="1" si="0"/>
        <v>42916</v>
      </c>
      <c r="B35" s="5">
        <f>'20161118 当日委托查询'!H35</f>
        <v>0</v>
      </c>
      <c r="C35" s="7" t="s">
        <v>25</v>
      </c>
      <c r="D35" s="7" t="s">
        <v>26</v>
      </c>
      <c r="E35" s="7" t="s">
        <v>27</v>
      </c>
      <c r="F35" s="7"/>
      <c r="G35" s="7"/>
      <c r="H35" s="7">
        <f>'20161118 当日委托查询'!J35</f>
        <v>0</v>
      </c>
      <c r="I35" s="7" t="str">
        <f>IF('20161118 当日委托查询'!B35="卖出","S","B")</f>
        <v>B</v>
      </c>
      <c r="J35" s="7" t="s">
        <v>28</v>
      </c>
      <c r="K35" s="7">
        <f>IF(I35="S",-1*'20161118 当日委托查询'!F35,'20161118 当日委托查询'!F35)</f>
        <v>0</v>
      </c>
      <c r="L35" s="7">
        <v>1</v>
      </c>
      <c r="M35" s="7">
        <f>'20161118 当日委托查询'!E35</f>
        <v>0</v>
      </c>
    </row>
    <row r="36" spans="1:13" x14ac:dyDescent="0.15">
      <c r="A36" s="2">
        <f t="shared" ca="1" si="0"/>
        <v>42916</v>
      </c>
      <c r="B36" s="5">
        <f>'20161118 当日委托查询'!H36</f>
        <v>0</v>
      </c>
      <c r="C36" s="7" t="s">
        <v>25</v>
      </c>
      <c r="D36" s="7" t="s">
        <v>26</v>
      </c>
      <c r="E36" s="7" t="s">
        <v>27</v>
      </c>
      <c r="F36" s="7"/>
      <c r="G36" s="7"/>
      <c r="H36" s="7">
        <f>'20161118 当日委托查询'!J36</f>
        <v>0</v>
      </c>
      <c r="I36" s="7" t="str">
        <f>IF('20161118 当日委托查询'!B36="卖出","S","B")</f>
        <v>B</v>
      </c>
      <c r="J36" s="7" t="s">
        <v>28</v>
      </c>
      <c r="K36" s="7">
        <f>IF(I36="S",-1*'20161118 当日委托查询'!F36,'20161118 当日委托查询'!F36)</f>
        <v>0</v>
      </c>
      <c r="L36" s="7">
        <v>1</v>
      </c>
      <c r="M36" s="7">
        <f>'20161118 当日委托查询'!E36</f>
        <v>0</v>
      </c>
    </row>
    <row r="37" spans="1:13" x14ac:dyDescent="0.15">
      <c r="A37" s="2">
        <f t="shared" ca="1" si="0"/>
        <v>42916</v>
      </c>
      <c r="B37" s="5">
        <f>'20161118 当日委托查询'!H37</f>
        <v>0</v>
      </c>
      <c r="C37" s="7" t="s">
        <v>25</v>
      </c>
      <c r="D37" s="7" t="s">
        <v>26</v>
      </c>
      <c r="E37" s="7" t="s">
        <v>27</v>
      </c>
      <c r="F37" s="7"/>
      <c r="G37" s="7"/>
      <c r="H37" s="7">
        <f>'20161118 当日委托查询'!J37</f>
        <v>0</v>
      </c>
      <c r="I37" s="7" t="str">
        <f>IF('20161118 当日委托查询'!B37="卖出","S","B")</f>
        <v>B</v>
      </c>
      <c r="J37" s="7" t="s">
        <v>28</v>
      </c>
      <c r="K37" s="7">
        <f>IF(I37="S",-1*'20161118 当日委托查询'!F37,'20161118 当日委托查询'!F37)</f>
        <v>0</v>
      </c>
      <c r="L37" s="7">
        <v>1</v>
      </c>
      <c r="M37" s="7">
        <f>'20161118 当日委托查询'!E37</f>
        <v>0</v>
      </c>
    </row>
    <row r="38" spans="1:13" x14ac:dyDescent="0.15">
      <c r="A38" s="2">
        <f t="shared" ca="1" si="0"/>
        <v>42916</v>
      </c>
      <c r="B38" s="5">
        <f>'20161118 当日委托查询'!H38</f>
        <v>0</v>
      </c>
      <c r="C38" s="7" t="s">
        <v>25</v>
      </c>
      <c r="D38" s="7" t="s">
        <v>26</v>
      </c>
      <c r="E38" s="7" t="s">
        <v>27</v>
      </c>
      <c r="F38" s="7"/>
      <c r="G38" s="7"/>
      <c r="H38" s="7">
        <f>'20161118 当日委托查询'!J38</f>
        <v>0</v>
      </c>
      <c r="I38" s="7" t="str">
        <f>IF('20161118 当日委托查询'!B38="卖出","S","B")</f>
        <v>B</v>
      </c>
      <c r="J38" s="7" t="s">
        <v>28</v>
      </c>
      <c r="K38" s="7">
        <f>IF(I38="S",-1*'20161118 当日委托查询'!F38,'20161118 当日委托查询'!F38)</f>
        <v>0</v>
      </c>
      <c r="L38" s="7">
        <v>1</v>
      </c>
      <c r="M38" s="7">
        <f>'20161118 当日委托查询'!E38</f>
        <v>0</v>
      </c>
    </row>
    <row r="39" spans="1:13" x14ac:dyDescent="0.15">
      <c r="A39" s="2">
        <f t="shared" ca="1" si="0"/>
        <v>42916</v>
      </c>
      <c r="B39" s="5">
        <f>'20161118 当日委托查询'!H39</f>
        <v>0</v>
      </c>
      <c r="C39" s="7" t="s">
        <v>25</v>
      </c>
      <c r="D39" s="7" t="s">
        <v>26</v>
      </c>
      <c r="E39" s="7" t="s">
        <v>27</v>
      </c>
      <c r="F39" s="7"/>
      <c r="G39" s="7"/>
      <c r="H39" s="7">
        <f>'20161118 当日委托查询'!J39</f>
        <v>0</v>
      </c>
      <c r="I39" s="7" t="str">
        <f>IF('20161118 当日委托查询'!B39="卖出","S","B")</f>
        <v>B</v>
      </c>
      <c r="J39" s="7" t="s">
        <v>28</v>
      </c>
      <c r="K39" s="7">
        <f>IF(I39="S",-1*'20161118 当日委托查询'!F39,'20161118 当日委托查询'!F39)</f>
        <v>0</v>
      </c>
      <c r="L39" s="7">
        <v>1</v>
      </c>
      <c r="M39" s="7">
        <f>'20161118 当日委托查询'!E39</f>
        <v>0</v>
      </c>
    </row>
    <row r="40" spans="1:13" x14ac:dyDescent="0.15">
      <c r="A40" s="2">
        <f t="shared" ca="1" si="0"/>
        <v>42916</v>
      </c>
      <c r="B40" s="5">
        <f>'20161118 当日委托查询'!H40</f>
        <v>0</v>
      </c>
      <c r="C40" s="7" t="s">
        <v>25</v>
      </c>
      <c r="D40" s="7" t="s">
        <v>26</v>
      </c>
      <c r="E40" s="7" t="s">
        <v>27</v>
      </c>
      <c r="F40" s="7"/>
      <c r="G40" s="7"/>
      <c r="H40" s="7">
        <f>'20161118 当日委托查询'!J40</f>
        <v>0</v>
      </c>
      <c r="I40" s="7" t="str">
        <f>IF('20161118 当日委托查询'!B40="卖出","S","B")</f>
        <v>B</v>
      </c>
      <c r="J40" s="7" t="s">
        <v>28</v>
      </c>
      <c r="K40" s="7">
        <f>IF(I40="S",-1*'20161118 当日委托查询'!F40,'20161118 当日委托查询'!F40)</f>
        <v>0</v>
      </c>
      <c r="L40" s="7">
        <v>1</v>
      </c>
      <c r="M40" s="7">
        <f>'20161118 当日委托查询'!E40</f>
        <v>0</v>
      </c>
    </row>
    <row r="41" spans="1:13" x14ac:dyDescent="0.15">
      <c r="A41" s="2">
        <f t="shared" ca="1" si="0"/>
        <v>42916</v>
      </c>
      <c r="B41" s="5">
        <f>'20161118 当日委托查询'!H41</f>
        <v>0</v>
      </c>
      <c r="C41" s="7" t="s">
        <v>25</v>
      </c>
      <c r="D41" s="7" t="s">
        <v>26</v>
      </c>
      <c r="E41" s="7" t="s">
        <v>27</v>
      </c>
      <c r="F41" s="7"/>
      <c r="G41" s="7"/>
      <c r="H41" s="7">
        <f>'20161118 当日委托查询'!J41</f>
        <v>0</v>
      </c>
      <c r="I41" s="7" t="str">
        <f>IF('20161118 当日委托查询'!B41="卖出","S","B")</f>
        <v>B</v>
      </c>
      <c r="J41" s="7" t="s">
        <v>28</v>
      </c>
      <c r="K41" s="7">
        <f>IF(I41="S",-1*'20161118 当日委托查询'!F41,'20161118 当日委托查询'!F41)</f>
        <v>0</v>
      </c>
      <c r="L41" s="7">
        <v>1</v>
      </c>
      <c r="M41" s="7">
        <f>'20161118 当日委托查询'!E41</f>
        <v>0</v>
      </c>
    </row>
    <row r="42" spans="1:13" x14ac:dyDescent="0.15">
      <c r="A42" s="2">
        <f t="shared" ca="1" si="0"/>
        <v>42916</v>
      </c>
      <c r="B42" s="5">
        <f>'20161118 当日委托查询'!H42</f>
        <v>0</v>
      </c>
      <c r="C42" s="7" t="s">
        <v>25</v>
      </c>
      <c r="D42" s="7" t="s">
        <v>26</v>
      </c>
      <c r="E42" s="7" t="s">
        <v>27</v>
      </c>
      <c r="F42" s="7"/>
      <c r="G42" s="7"/>
      <c r="H42" s="7">
        <f>'20161118 当日委托查询'!J42</f>
        <v>0</v>
      </c>
      <c r="I42" s="7" t="str">
        <f>IF('20161118 当日委托查询'!B42="卖出","S","B")</f>
        <v>B</v>
      </c>
      <c r="J42" s="7" t="s">
        <v>28</v>
      </c>
      <c r="K42" s="7">
        <f>IF(I42="S",-1*'20161118 当日委托查询'!F42,'20161118 当日委托查询'!F42)</f>
        <v>0</v>
      </c>
      <c r="L42" s="7">
        <v>1</v>
      </c>
      <c r="M42" s="7">
        <f>'20161118 当日委托查询'!E42</f>
        <v>0</v>
      </c>
    </row>
    <row r="43" spans="1:13" x14ac:dyDescent="0.15">
      <c r="A43" s="2">
        <f t="shared" ca="1" si="0"/>
        <v>42916</v>
      </c>
      <c r="B43" s="5">
        <f>'20161118 当日委托查询'!H43</f>
        <v>0</v>
      </c>
      <c r="C43" s="7" t="s">
        <v>25</v>
      </c>
      <c r="D43" s="7" t="s">
        <v>26</v>
      </c>
      <c r="E43" s="7" t="s">
        <v>27</v>
      </c>
      <c r="F43" s="7"/>
      <c r="G43" s="7"/>
      <c r="H43" s="7">
        <f>'20161118 当日委托查询'!J43</f>
        <v>0</v>
      </c>
      <c r="I43" s="7" t="str">
        <f>IF('20161118 当日委托查询'!B43="卖出","S","B")</f>
        <v>B</v>
      </c>
      <c r="J43" s="7" t="s">
        <v>28</v>
      </c>
      <c r="K43" s="7">
        <f>IF(I43="S",-1*'20161118 当日委托查询'!F43,'20161118 当日委托查询'!F43)</f>
        <v>0</v>
      </c>
      <c r="L43" s="7">
        <v>1</v>
      </c>
      <c r="M43" s="7">
        <f>'20161118 当日委托查询'!E43</f>
        <v>0</v>
      </c>
    </row>
    <row r="44" spans="1:13" x14ac:dyDescent="0.15">
      <c r="A44" s="2">
        <f t="shared" ca="1" si="0"/>
        <v>42916</v>
      </c>
      <c r="B44" s="5">
        <f>'20161118 当日委托查询'!H44</f>
        <v>0</v>
      </c>
      <c r="C44" s="7" t="s">
        <v>25</v>
      </c>
      <c r="D44" s="7" t="s">
        <v>26</v>
      </c>
      <c r="E44" s="7" t="s">
        <v>27</v>
      </c>
      <c r="F44" s="7"/>
      <c r="G44" s="7"/>
      <c r="H44" s="7">
        <f>'20161118 当日委托查询'!J44</f>
        <v>0</v>
      </c>
      <c r="I44" s="7" t="str">
        <f>IF('20161118 当日委托查询'!B44="卖出","S","B")</f>
        <v>B</v>
      </c>
      <c r="J44" s="7" t="s">
        <v>28</v>
      </c>
      <c r="K44" s="7">
        <f>IF(I44="S",-1*'20161118 当日委托查询'!F44,'20161118 当日委托查询'!F44)</f>
        <v>0</v>
      </c>
      <c r="L44" s="7">
        <v>1</v>
      </c>
      <c r="M44" s="7">
        <f>'20161118 当日委托查询'!E44</f>
        <v>0</v>
      </c>
    </row>
    <row r="45" spans="1:13" x14ac:dyDescent="0.15">
      <c r="A45" s="2">
        <f t="shared" ca="1" si="0"/>
        <v>42916</v>
      </c>
      <c r="B45" s="5">
        <f>'20161118 当日委托查询'!H45</f>
        <v>0</v>
      </c>
      <c r="C45" s="7" t="s">
        <v>25</v>
      </c>
      <c r="D45" s="7" t="s">
        <v>26</v>
      </c>
      <c r="E45" s="7" t="s">
        <v>27</v>
      </c>
      <c r="F45" s="7"/>
      <c r="G45" s="7"/>
      <c r="H45" s="7">
        <f>'20161118 当日委托查询'!J45</f>
        <v>0</v>
      </c>
      <c r="I45" s="7" t="str">
        <f>IF('20161118 当日委托查询'!B45="卖出","S","B")</f>
        <v>B</v>
      </c>
      <c r="J45" s="7" t="s">
        <v>28</v>
      </c>
      <c r="K45" s="7">
        <f>IF(I45="S",-1*'20161118 当日委托查询'!F45,'20161118 当日委托查询'!F45)</f>
        <v>0</v>
      </c>
      <c r="L45" s="7">
        <v>1</v>
      </c>
      <c r="M45" s="7">
        <f>'20161118 当日委托查询'!E45</f>
        <v>0</v>
      </c>
    </row>
    <row r="46" spans="1:13" x14ac:dyDescent="0.15">
      <c r="A46" s="2">
        <f t="shared" ca="1" si="0"/>
        <v>42916</v>
      </c>
      <c r="B46" s="5">
        <f>'20161118 当日委托查询'!H46</f>
        <v>0</v>
      </c>
      <c r="C46" s="7" t="s">
        <v>25</v>
      </c>
      <c r="D46" s="7" t="s">
        <v>26</v>
      </c>
      <c r="E46" s="7" t="s">
        <v>27</v>
      </c>
      <c r="F46" s="7"/>
      <c r="G46" s="7"/>
      <c r="H46" s="7">
        <f>'20161118 当日委托查询'!J46</f>
        <v>0</v>
      </c>
      <c r="I46" s="7" t="str">
        <f>IF('20161118 当日委托查询'!B46="卖出","S","B")</f>
        <v>B</v>
      </c>
      <c r="J46" s="7" t="s">
        <v>28</v>
      </c>
      <c r="K46" s="7">
        <f>IF(I46="S",-1*'20161118 当日委托查询'!F46,'20161118 当日委托查询'!F46)</f>
        <v>0</v>
      </c>
      <c r="L46" s="7">
        <v>1</v>
      </c>
      <c r="M46" s="7">
        <f>'20161118 当日委托查询'!E46</f>
        <v>0</v>
      </c>
    </row>
    <row r="47" spans="1:13" x14ac:dyDescent="0.15">
      <c r="A47" s="2">
        <f t="shared" ca="1" si="0"/>
        <v>42916</v>
      </c>
      <c r="B47" s="5">
        <f>'20161118 当日委托查询'!H47</f>
        <v>0</v>
      </c>
      <c r="C47" s="7" t="s">
        <v>25</v>
      </c>
      <c r="D47" s="7" t="s">
        <v>26</v>
      </c>
      <c r="E47" s="7" t="s">
        <v>27</v>
      </c>
      <c r="F47" s="7"/>
      <c r="G47" s="7"/>
      <c r="H47" s="7">
        <f>'20161118 当日委托查询'!J47</f>
        <v>0</v>
      </c>
      <c r="I47" s="7" t="str">
        <f>IF('20161118 当日委托查询'!B47="卖出","S","B")</f>
        <v>B</v>
      </c>
      <c r="J47" s="7" t="s">
        <v>28</v>
      </c>
      <c r="K47" s="7">
        <f>IF(I47="S",-1*'20161118 当日委托查询'!F47,'20161118 当日委托查询'!F47)</f>
        <v>0</v>
      </c>
      <c r="L47" s="7">
        <v>1</v>
      </c>
      <c r="M47" s="7">
        <f>'20161118 当日委托查询'!E47</f>
        <v>0</v>
      </c>
    </row>
    <row r="48" spans="1:13" x14ac:dyDescent="0.15">
      <c r="A48" s="2">
        <f t="shared" ca="1" si="0"/>
        <v>42916</v>
      </c>
      <c r="B48" s="5">
        <f>'20161118 当日委托查询'!H48</f>
        <v>0</v>
      </c>
      <c r="C48" s="7" t="s">
        <v>25</v>
      </c>
      <c r="D48" s="7" t="s">
        <v>26</v>
      </c>
      <c r="E48" s="7" t="s">
        <v>27</v>
      </c>
      <c r="F48" s="7"/>
      <c r="G48" s="7"/>
      <c r="H48" s="7">
        <f>'20161118 当日委托查询'!J48</f>
        <v>0</v>
      </c>
      <c r="I48" s="7" t="str">
        <f>IF('20161118 当日委托查询'!B48="卖出","S","B")</f>
        <v>B</v>
      </c>
      <c r="J48" s="7" t="s">
        <v>28</v>
      </c>
      <c r="K48" s="7">
        <f>IF(I48="S",-1*'20161118 当日委托查询'!F48,'20161118 当日委托查询'!F48)</f>
        <v>0</v>
      </c>
      <c r="L48" s="7">
        <v>1</v>
      </c>
      <c r="M48" s="7">
        <f>'20161118 当日委托查询'!E48</f>
        <v>0</v>
      </c>
    </row>
    <row r="49" spans="1:13" x14ac:dyDescent="0.15">
      <c r="A49" s="2">
        <f t="shared" ca="1" si="0"/>
        <v>42916</v>
      </c>
      <c r="B49" s="5">
        <f>'20161118 当日委托查询'!H49</f>
        <v>0</v>
      </c>
      <c r="C49" s="7" t="s">
        <v>25</v>
      </c>
      <c r="D49" s="7" t="s">
        <v>26</v>
      </c>
      <c r="E49" s="7" t="s">
        <v>27</v>
      </c>
      <c r="F49" s="7"/>
      <c r="G49" s="7"/>
      <c r="H49" s="7">
        <f>'20161118 当日委托查询'!J49</f>
        <v>0</v>
      </c>
      <c r="I49" s="7" t="str">
        <f>IF('20161118 当日委托查询'!B49="卖出","S","B")</f>
        <v>B</v>
      </c>
      <c r="J49" s="7" t="s">
        <v>28</v>
      </c>
      <c r="K49" s="7">
        <f>IF(I49="S",-1*'20161118 当日委托查询'!F49,'20161118 当日委托查询'!F49)</f>
        <v>0</v>
      </c>
      <c r="L49" s="7">
        <v>1</v>
      </c>
      <c r="M49" s="7">
        <f>'20161118 当日委托查询'!E49</f>
        <v>0</v>
      </c>
    </row>
    <row r="50" spans="1:13" x14ac:dyDescent="0.15">
      <c r="A50" s="2">
        <f t="shared" ca="1" si="0"/>
        <v>42916</v>
      </c>
      <c r="B50" s="5">
        <f>'20161118 当日委托查询'!H50</f>
        <v>0</v>
      </c>
      <c r="C50" s="7" t="s">
        <v>25</v>
      </c>
      <c r="D50" s="7" t="s">
        <v>26</v>
      </c>
      <c r="E50" s="7" t="s">
        <v>27</v>
      </c>
      <c r="F50" s="7"/>
      <c r="G50" s="7"/>
      <c r="H50" s="7">
        <f>'20161118 当日委托查询'!J50</f>
        <v>0</v>
      </c>
      <c r="I50" s="7" t="str">
        <f>IF('20161118 当日委托查询'!B50="卖出","S","B")</f>
        <v>B</v>
      </c>
      <c r="J50" s="7" t="s">
        <v>28</v>
      </c>
      <c r="K50" s="7">
        <f>IF(I50="S",-1*'20161118 当日委托查询'!F50,'20161118 当日委托查询'!F50)</f>
        <v>0</v>
      </c>
      <c r="L50" s="7">
        <v>1</v>
      </c>
      <c r="M50" s="7">
        <f>'20161118 当日委托查询'!E50</f>
        <v>0</v>
      </c>
    </row>
    <row r="51" spans="1:13" x14ac:dyDescent="0.15">
      <c r="A51" s="2">
        <f t="shared" ca="1" si="0"/>
        <v>42916</v>
      </c>
      <c r="B51" s="5">
        <f>'20161118 当日委托查询'!H51</f>
        <v>0</v>
      </c>
      <c r="C51" s="7" t="s">
        <v>25</v>
      </c>
      <c r="D51" s="7" t="s">
        <v>26</v>
      </c>
      <c r="E51" s="7" t="s">
        <v>27</v>
      </c>
      <c r="F51" s="7"/>
      <c r="G51" s="7"/>
      <c r="H51" s="7">
        <f>'20161118 当日委托查询'!J51</f>
        <v>0</v>
      </c>
      <c r="I51" s="7" t="str">
        <f>IF('20161118 当日委托查询'!B51="卖出","S","B")</f>
        <v>B</v>
      </c>
      <c r="J51" s="7" t="s">
        <v>28</v>
      </c>
      <c r="K51" s="7">
        <f>IF(I51="S",-1*'20161118 当日委托查询'!F51,'20161118 当日委托查询'!F51)</f>
        <v>0</v>
      </c>
      <c r="L51" s="7">
        <v>1</v>
      </c>
      <c r="M51" s="7">
        <f>'20161118 当日委托查询'!E51</f>
        <v>0</v>
      </c>
    </row>
    <row r="52" spans="1:13" x14ac:dyDescent="0.15">
      <c r="A52" s="2">
        <f t="shared" ca="1" si="0"/>
        <v>42916</v>
      </c>
      <c r="B52" s="5">
        <f>'20161118 当日委托查询'!H52</f>
        <v>0</v>
      </c>
      <c r="C52" s="7" t="s">
        <v>25</v>
      </c>
      <c r="D52" s="7" t="s">
        <v>26</v>
      </c>
      <c r="E52" s="7" t="s">
        <v>27</v>
      </c>
      <c r="F52" s="7"/>
      <c r="G52" s="7"/>
      <c r="H52" s="7">
        <f>'20161118 当日委托查询'!J52</f>
        <v>0</v>
      </c>
      <c r="I52" s="7" t="str">
        <f>IF('20161118 当日委托查询'!B52="卖出","S","B")</f>
        <v>B</v>
      </c>
      <c r="J52" s="7" t="s">
        <v>28</v>
      </c>
      <c r="K52" s="7">
        <f>IF(I52="S",-1*'20161118 当日委托查询'!F52,'20161118 当日委托查询'!F52)</f>
        <v>0</v>
      </c>
      <c r="L52" s="7">
        <v>1</v>
      </c>
      <c r="M52" s="7">
        <f>'20161118 当日委托查询'!E52</f>
        <v>0</v>
      </c>
    </row>
    <row r="53" spans="1:13" x14ac:dyDescent="0.15">
      <c r="A53" s="2">
        <f t="shared" ca="1" si="0"/>
        <v>42916</v>
      </c>
      <c r="B53" s="5">
        <f>'20161118 当日委托查询'!H53</f>
        <v>0</v>
      </c>
      <c r="C53" s="7" t="s">
        <v>25</v>
      </c>
      <c r="D53" s="7" t="s">
        <v>26</v>
      </c>
      <c r="E53" s="7" t="s">
        <v>27</v>
      </c>
      <c r="F53" s="7"/>
      <c r="G53" s="7"/>
      <c r="H53" s="7">
        <f>'20161118 当日委托查询'!J53</f>
        <v>0</v>
      </c>
      <c r="I53" s="7" t="str">
        <f>IF('20161118 当日委托查询'!B53="卖出","S","B")</f>
        <v>B</v>
      </c>
      <c r="J53" s="7" t="s">
        <v>28</v>
      </c>
      <c r="K53" s="7">
        <f>IF(I53="S",-1*'20161118 当日委托查询'!F53,'20161118 当日委托查询'!F53)</f>
        <v>0</v>
      </c>
      <c r="L53" s="7">
        <v>1</v>
      </c>
      <c r="M53" s="7">
        <f>'20161118 当日委托查询'!E53</f>
        <v>0</v>
      </c>
    </row>
    <row r="54" spans="1:13" x14ac:dyDescent="0.15">
      <c r="A54" s="2">
        <f t="shared" ca="1" si="0"/>
        <v>42916</v>
      </c>
      <c r="B54" s="5">
        <f>'20161118 当日委托查询'!H54</f>
        <v>0</v>
      </c>
      <c r="C54" s="7" t="s">
        <v>25</v>
      </c>
      <c r="D54" s="7" t="s">
        <v>26</v>
      </c>
      <c r="E54" s="7" t="s">
        <v>27</v>
      </c>
      <c r="F54" s="7"/>
      <c r="G54" s="7"/>
      <c r="H54" s="7">
        <f>'20161118 当日委托查询'!J54</f>
        <v>0</v>
      </c>
      <c r="I54" s="7" t="str">
        <f>IF('20161118 当日委托查询'!B54="卖出","S","B")</f>
        <v>B</v>
      </c>
      <c r="J54" s="7" t="s">
        <v>28</v>
      </c>
      <c r="K54" s="7">
        <f>IF(I54="S",-1*'20161118 当日委托查询'!F54,'20161118 当日委托查询'!F54)</f>
        <v>0</v>
      </c>
      <c r="L54" s="7">
        <v>1</v>
      </c>
      <c r="M54" s="7">
        <f>'20161118 当日委托查询'!E54</f>
        <v>0</v>
      </c>
    </row>
    <row r="55" spans="1:13" x14ac:dyDescent="0.15">
      <c r="A55" s="2">
        <f t="shared" ca="1" si="0"/>
        <v>42916</v>
      </c>
      <c r="B55" s="5">
        <f>'20161118 当日委托查询'!H55</f>
        <v>0</v>
      </c>
      <c r="C55" s="7" t="s">
        <v>25</v>
      </c>
      <c r="D55" s="7" t="s">
        <v>26</v>
      </c>
      <c r="E55" s="7" t="s">
        <v>27</v>
      </c>
      <c r="F55" s="7"/>
      <c r="G55" s="7"/>
      <c r="H55" s="7">
        <f>'20161118 当日委托查询'!J55</f>
        <v>0</v>
      </c>
      <c r="I55" s="7" t="str">
        <f>IF('20161118 当日委托查询'!B55="卖出","S","B")</f>
        <v>B</v>
      </c>
      <c r="J55" s="7" t="s">
        <v>28</v>
      </c>
      <c r="K55" s="7">
        <f>IF(I55="S",-1*'20161118 当日委托查询'!F55,'20161118 当日委托查询'!F55)</f>
        <v>0</v>
      </c>
      <c r="L55" s="7">
        <v>1</v>
      </c>
      <c r="M55" s="7">
        <f>'20161118 当日委托查询'!E55</f>
        <v>0</v>
      </c>
    </row>
    <row r="56" spans="1:13" x14ac:dyDescent="0.15">
      <c r="A56" s="2">
        <f t="shared" ca="1" si="0"/>
        <v>42916</v>
      </c>
      <c r="B56" s="5">
        <f>'20161118 当日委托查询'!H56</f>
        <v>0</v>
      </c>
      <c r="C56" s="7" t="s">
        <v>25</v>
      </c>
      <c r="D56" s="7" t="s">
        <v>26</v>
      </c>
      <c r="E56" s="7" t="s">
        <v>27</v>
      </c>
      <c r="F56" s="7"/>
      <c r="G56" s="7"/>
      <c r="H56" s="7">
        <f>'20161118 当日委托查询'!J56</f>
        <v>0</v>
      </c>
      <c r="I56" s="7" t="str">
        <f>IF('20161118 当日委托查询'!B56="卖出","S","B")</f>
        <v>B</v>
      </c>
      <c r="J56" s="7" t="s">
        <v>28</v>
      </c>
      <c r="K56" s="7">
        <f>IF(I56="S",-1*'20161118 当日委托查询'!F56,'20161118 当日委托查询'!F56)</f>
        <v>0</v>
      </c>
      <c r="L56" s="7">
        <v>1</v>
      </c>
      <c r="M56" s="7">
        <f>'20161118 当日委托查询'!E56</f>
        <v>0</v>
      </c>
    </row>
    <row r="57" spans="1:13" x14ac:dyDescent="0.15">
      <c r="A57" s="2">
        <f t="shared" ca="1" si="0"/>
        <v>42916</v>
      </c>
      <c r="B57" s="5">
        <f>'20161118 当日委托查询'!H57</f>
        <v>0</v>
      </c>
      <c r="C57" s="7" t="s">
        <v>25</v>
      </c>
      <c r="D57" s="7" t="s">
        <v>26</v>
      </c>
      <c r="E57" s="7" t="s">
        <v>27</v>
      </c>
      <c r="F57" s="7"/>
      <c r="G57" s="7"/>
      <c r="H57" s="7">
        <f>'20161118 当日委托查询'!J57</f>
        <v>0</v>
      </c>
      <c r="I57" s="7" t="str">
        <f>IF('20161118 当日委托查询'!B57="卖出","S","B")</f>
        <v>B</v>
      </c>
      <c r="J57" s="7" t="s">
        <v>28</v>
      </c>
      <c r="K57" s="7">
        <f>IF(I57="S",-1*'20161118 当日委托查询'!F57,'20161118 当日委托查询'!F57)</f>
        <v>0</v>
      </c>
      <c r="L57" s="7">
        <v>1</v>
      </c>
      <c r="M57" s="7">
        <f>'20161118 当日委托查询'!E57</f>
        <v>0</v>
      </c>
    </row>
    <row r="58" spans="1:13" x14ac:dyDescent="0.15">
      <c r="A58" s="2">
        <f t="shared" ca="1" si="0"/>
        <v>42916</v>
      </c>
      <c r="B58" s="5">
        <f>'20161118 当日委托查询'!H58</f>
        <v>0</v>
      </c>
      <c r="C58" s="7" t="s">
        <v>25</v>
      </c>
      <c r="D58" s="7" t="s">
        <v>26</v>
      </c>
      <c r="E58" s="7" t="s">
        <v>27</v>
      </c>
      <c r="F58" s="7"/>
      <c r="G58" s="7"/>
      <c r="H58" s="7">
        <f>'20161118 当日委托查询'!J58</f>
        <v>0</v>
      </c>
      <c r="I58" s="7" t="str">
        <f>IF('20161118 当日委托查询'!B58="卖出","S","B")</f>
        <v>B</v>
      </c>
      <c r="J58" s="7" t="s">
        <v>28</v>
      </c>
      <c r="K58" s="7">
        <f>IF(I58="S",-1*'20161118 当日委托查询'!F58,'20161118 当日委托查询'!F58)</f>
        <v>0</v>
      </c>
      <c r="L58" s="7">
        <v>1</v>
      </c>
      <c r="M58" s="7">
        <f>'20161118 当日委托查询'!E58</f>
        <v>0</v>
      </c>
    </row>
    <row r="59" spans="1:13" x14ac:dyDescent="0.15">
      <c r="A59" s="2">
        <f t="shared" ca="1" si="0"/>
        <v>42916</v>
      </c>
      <c r="B59" s="5">
        <f>'20161118 当日委托查询'!H59</f>
        <v>0</v>
      </c>
      <c r="C59" s="7" t="s">
        <v>25</v>
      </c>
      <c r="D59" s="7" t="s">
        <v>26</v>
      </c>
      <c r="E59" s="7" t="s">
        <v>27</v>
      </c>
      <c r="F59" s="7"/>
      <c r="G59" s="7"/>
      <c r="H59" s="7">
        <f>'20161118 当日委托查询'!J59</f>
        <v>0</v>
      </c>
      <c r="I59" s="7" t="str">
        <f>IF('20161118 当日委托查询'!B59="卖出","S","B")</f>
        <v>B</v>
      </c>
      <c r="J59" s="7" t="s">
        <v>28</v>
      </c>
      <c r="K59" s="7">
        <f>IF(I59="S",-1*'20161118 当日委托查询'!F59,'20161118 当日委托查询'!F59)</f>
        <v>0</v>
      </c>
      <c r="L59" s="7">
        <v>1</v>
      </c>
      <c r="M59" s="7">
        <f>'20161118 当日委托查询'!E59</f>
        <v>0</v>
      </c>
    </row>
    <row r="60" spans="1:13" x14ac:dyDescent="0.15">
      <c r="A60" s="2">
        <f t="shared" ca="1" si="0"/>
        <v>42916</v>
      </c>
      <c r="B60" s="5">
        <f>'20161118 当日委托查询'!H60</f>
        <v>0</v>
      </c>
      <c r="C60" s="7" t="s">
        <v>25</v>
      </c>
      <c r="D60" s="7" t="s">
        <v>26</v>
      </c>
      <c r="E60" s="7" t="s">
        <v>27</v>
      </c>
      <c r="F60" s="7"/>
      <c r="G60" s="7"/>
      <c r="H60" s="7">
        <f>'20161118 当日委托查询'!J60</f>
        <v>0</v>
      </c>
      <c r="I60" s="7" t="str">
        <f>IF('20161118 当日委托查询'!B60="卖出","S","B")</f>
        <v>B</v>
      </c>
      <c r="J60" s="7" t="s">
        <v>28</v>
      </c>
      <c r="K60" s="7">
        <f>IF(I60="S",-1*'20161118 当日委托查询'!F60,'20161118 当日委托查询'!F60)</f>
        <v>0</v>
      </c>
      <c r="L60" s="7">
        <v>1</v>
      </c>
      <c r="M60" s="7">
        <f>'20161118 当日委托查询'!E60</f>
        <v>0</v>
      </c>
    </row>
    <row r="61" spans="1:13" x14ac:dyDescent="0.15">
      <c r="A61" s="2">
        <f t="shared" ca="1" si="0"/>
        <v>42916</v>
      </c>
      <c r="B61" s="5">
        <f>'20161118 当日委托查询'!H61</f>
        <v>0</v>
      </c>
      <c r="C61" s="7" t="s">
        <v>25</v>
      </c>
      <c r="D61" s="7" t="s">
        <v>26</v>
      </c>
      <c r="E61" s="7" t="s">
        <v>27</v>
      </c>
      <c r="F61" s="7"/>
      <c r="G61" s="7"/>
      <c r="H61" s="7">
        <f>'20161118 当日委托查询'!J61</f>
        <v>0</v>
      </c>
      <c r="I61" s="7" t="str">
        <f>IF('20161118 当日委托查询'!B61="卖出","S","B")</f>
        <v>B</v>
      </c>
      <c r="J61" s="7" t="s">
        <v>28</v>
      </c>
      <c r="K61" s="7">
        <f>IF(I61="S",-1*'20161118 当日委托查询'!F61,'20161118 当日委托查询'!F61)</f>
        <v>0</v>
      </c>
      <c r="L61" s="7">
        <v>1</v>
      </c>
      <c r="M61" s="7">
        <f>'20161118 当日委托查询'!E61</f>
        <v>0</v>
      </c>
    </row>
    <row r="62" spans="1:13" x14ac:dyDescent="0.15">
      <c r="A62" s="2">
        <f t="shared" ca="1" si="0"/>
        <v>42916</v>
      </c>
      <c r="B62" s="5">
        <f>'20161118 当日委托查询'!H62</f>
        <v>0</v>
      </c>
      <c r="C62" s="7" t="s">
        <v>25</v>
      </c>
      <c r="D62" s="7" t="s">
        <v>26</v>
      </c>
      <c r="E62" s="7" t="s">
        <v>27</v>
      </c>
      <c r="F62" s="7"/>
      <c r="G62" s="7"/>
      <c r="H62" s="7">
        <f>'20161118 当日委托查询'!J62</f>
        <v>0</v>
      </c>
      <c r="I62" s="7" t="str">
        <f>IF('20161118 当日委托查询'!B62="卖出","S","B")</f>
        <v>B</v>
      </c>
      <c r="J62" s="7" t="s">
        <v>28</v>
      </c>
      <c r="K62" s="7">
        <f>IF(I62="S",-1*'20161118 当日委托查询'!F62,'20161118 当日委托查询'!F62)</f>
        <v>0</v>
      </c>
      <c r="L62" s="7">
        <v>1</v>
      </c>
      <c r="M62" s="7">
        <f>'20161118 当日委托查询'!E62</f>
        <v>0</v>
      </c>
    </row>
    <row r="63" spans="1:13" x14ac:dyDescent="0.15">
      <c r="A63" s="2">
        <f t="shared" ca="1" si="0"/>
        <v>42916</v>
      </c>
      <c r="B63" s="5">
        <f>'20161118 当日委托查询'!H63</f>
        <v>0</v>
      </c>
      <c r="C63" s="7" t="s">
        <v>25</v>
      </c>
      <c r="D63" s="7" t="s">
        <v>26</v>
      </c>
      <c r="E63" s="7" t="s">
        <v>27</v>
      </c>
      <c r="F63" s="7"/>
      <c r="G63" s="7"/>
      <c r="H63" s="7">
        <f>'20161118 当日委托查询'!J63</f>
        <v>0</v>
      </c>
      <c r="I63" s="7" t="str">
        <f>IF('20161118 当日委托查询'!B63="卖出","S","B")</f>
        <v>B</v>
      </c>
      <c r="J63" s="7" t="s">
        <v>28</v>
      </c>
      <c r="K63" s="7">
        <f>IF(I63="S",-1*'20161118 当日委托查询'!F63,'20161118 当日委托查询'!F63)</f>
        <v>0</v>
      </c>
      <c r="L63" s="7">
        <v>1</v>
      </c>
      <c r="M63" s="7">
        <f>'20161118 当日委托查询'!E63</f>
        <v>0</v>
      </c>
    </row>
    <row r="64" spans="1:13" x14ac:dyDescent="0.15">
      <c r="A64" s="2">
        <f t="shared" ca="1" si="0"/>
        <v>42916</v>
      </c>
      <c r="B64" s="5">
        <f>'20161118 当日委托查询'!H64</f>
        <v>0</v>
      </c>
      <c r="C64" s="7" t="s">
        <v>25</v>
      </c>
      <c r="D64" s="7" t="s">
        <v>26</v>
      </c>
      <c r="E64" s="7" t="s">
        <v>27</v>
      </c>
      <c r="F64" s="7"/>
      <c r="G64" s="7"/>
      <c r="H64" s="7">
        <f>'20161118 当日委托查询'!J64</f>
        <v>0</v>
      </c>
      <c r="I64" s="7" t="str">
        <f>IF('20161118 当日委托查询'!B64="卖出","S","B")</f>
        <v>B</v>
      </c>
      <c r="J64" s="7" t="s">
        <v>28</v>
      </c>
      <c r="K64" s="7">
        <f>IF(I64="S",-1*'20161118 当日委托查询'!F64,'20161118 当日委托查询'!F64)</f>
        <v>0</v>
      </c>
      <c r="L64" s="7">
        <v>1</v>
      </c>
      <c r="M64" s="7">
        <f>'20161118 当日委托查询'!E64</f>
        <v>0</v>
      </c>
    </row>
    <row r="65" spans="1:13" x14ac:dyDescent="0.15">
      <c r="A65" s="2">
        <f t="shared" ca="1" si="0"/>
        <v>42916</v>
      </c>
      <c r="B65" s="5">
        <f>'20161118 当日委托查询'!H65</f>
        <v>0</v>
      </c>
      <c r="C65" s="7" t="s">
        <v>25</v>
      </c>
      <c r="D65" s="7" t="s">
        <v>26</v>
      </c>
      <c r="E65" s="7" t="s">
        <v>27</v>
      </c>
      <c r="F65" s="7"/>
      <c r="G65" s="7"/>
      <c r="H65" s="7">
        <f>'20161118 当日委托查询'!J65</f>
        <v>0</v>
      </c>
      <c r="I65" s="7" t="str">
        <f>IF('20161118 当日委托查询'!B65="卖出","S","B")</f>
        <v>B</v>
      </c>
      <c r="J65" s="7" t="s">
        <v>28</v>
      </c>
      <c r="K65" s="7">
        <f>IF(I65="S",-1*'20161118 当日委托查询'!F65,'20161118 当日委托查询'!F65)</f>
        <v>0</v>
      </c>
      <c r="L65" s="7">
        <v>1</v>
      </c>
      <c r="M65" s="7">
        <f>'20161118 当日委托查询'!E65</f>
        <v>0</v>
      </c>
    </row>
    <row r="66" spans="1:13" x14ac:dyDescent="0.15">
      <c r="A66" s="2">
        <f t="shared" ref="A66:A78" ca="1" si="1">TODAY()</f>
        <v>42916</v>
      </c>
      <c r="B66" s="5">
        <f>'20161118 当日委托查询'!H66</f>
        <v>0</v>
      </c>
      <c r="C66" s="7" t="s">
        <v>25</v>
      </c>
      <c r="D66" s="7" t="s">
        <v>26</v>
      </c>
      <c r="E66" s="7" t="s">
        <v>27</v>
      </c>
      <c r="F66" s="7"/>
      <c r="G66" s="7"/>
      <c r="H66" s="7">
        <f>'20161118 当日委托查询'!J66</f>
        <v>0</v>
      </c>
      <c r="I66" s="7" t="str">
        <f>IF('20161118 当日委托查询'!B66="卖出","S","B")</f>
        <v>B</v>
      </c>
      <c r="J66" s="7" t="s">
        <v>28</v>
      </c>
      <c r="K66" s="7">
        <f>IF(I66="S",-1*'20161118 当日委托查询'!F66,'20161118 当日委托查询'!F66)</f>
        <v>0</v>
      </c>
      <c r="L66" s="7">
        <v>1</v>
      </c>
      <c r="M66" s="7">
        <f>'20161118 当日委托查询'!E66</f>
        <v>0</v>
      </c>
    </row>
    <row r="67" spans="1:13" x14ac:dyDescent="0.15">
      <c r="A67" s="2">
        <f t="shared" ca="1" si="1"/>
        <v>42916</v>
      </c>
      <c r="B67" s="5">
        <f>'20161118 当日委托查询'!H67</f>
        <v>0</v>
      </c>
      <c r="C67" s="7" t="s">
        <v>25</v>
      </c>
      <c r="D67" s="7" t="s">
        <v>26</v>
      </c>
      <c r="E67" s="7" t="s">
        <v>27</v>
      </c>
      <c r="F67" s="7"/>
      <c r="G67" s="7"/>
      <c r="H67" s="7">
        <f>'20161118 当日委托查询'!J67</f>
        <v>0</v>
      </c>
      <c r="I67" s="7" t="str">
        <f>IF('20161118 当日委托查询'!B67="卖出","S","B")</f>
        <v>B</v>
      </c>
      <c r="J67" s="7" t="s">
        <v>28</v>
      </c>
      <c r="K67" s="7">
        <f>IF(I67="S",-1*'20161118 当日委托查询'!F67,'20161118 当日委托查询'!F67)</f>
        <v>0</v>
      </c>
      <c r="L67" s="7">
        <v>1</v>
      </c>
      <c r="M67" s="7">
        <f>'20161118 当日委托查询'!E67</f>
        <v>0</v>
      </c>
    </row>
    <row r="68" spans="1:13" x14ac:dyDescent="0.15">
      <c r="A68" s="2">
        <f t="shared" ca="1" si="1"/>
        <v>42916</v>
      </c>
      <c r="B68" s="5">
        <f>'20161118 当日委托查询'!H68</f>
        <v>0</v>
      </c>
      <c r="C68" s="7" t="s">
        <v>25</v>
      </c>
      <c r="D68" s="7" t="s">
        <v>26</v>
      </c>
      <c r="E68" s="7" t="s">
        <v>27</v>
      </c>
      <c r="F68" s="7"/>
      <c r="G68" s="7"/>
      <c r="H68" s="7">
        <f>'20161118 当日委托查询'!J68</f>
        <v>0</v>
      </c>
      <c r="I68" s="7" t="str">
        <f>IF('20161118 当日委托查询'!B68="卖出","S","B")</f>
        <v>B</v>
      </c>
      <c r="J68" s="7" t="s">
        <v>28</v>
      </c>
      <c r="K68" s="7">
        <f>IF(I68="S",-1*'20161118 当日委托查询'!F68,'20161118 当日委托查询'!F68)</f>
        <v>0</v>
      </c>
      <c r="L68" s="7">
        <v>1</v>
      </c>
      <c r="M68" s="7">
        <f>'20161118 当日委托查询'!E68</f>
        <v>0</v>
      </c>
    </row>
    <row r="69" spans="1:13" x14ac:dyDescent="0.15">
      <c r="A69" s="2">
        <f t="shared" ca="1" si="1"/>
        <v>42916</v>
      </c>
      <c r="B69" s="5">
        <f>'20161118 当日委托查询'!H69</f>
        <v>0</v>
      </c>
      <c r="C69" s="7" t="s">
        <v>25</v>
      </c>
      <c r="D69" s="7" t="s">
        <v>26</v>
      </c>
      <c r="E69" s="7" t="s">
        <v>27</v>
      </c>
      <c r="F69" s="7"/>
      <c r="G69" s="7"/>
      <c r="H69" s="7">
        <f>'20161118 当日委托查询'!J69</f>
        <v>0</v>
      </c>
      <c r="I69" s="7" t="str">
        <f>IF('20161118 当日委托查询'!B69="卖出","S","B")</f>
        <v>B</v>
      </c>
      <c r="J69" s="7" t="s">
        <v>28</v>
      </c>
      <c r="K69" s="7">
        <f>IF(I69="S",-1*'20161118 当日委托查询'!F69,'20161118 当日委托查询'!F69)</f>
        <v>0</v>
      </c>
      <c r="L69" s="7">
        <v>1</v>
      </c>
      <c r="M69" s="7">
        <f>'20161118 当日委托查询'!E69</f>
        <v>0</v>
      </c>
    </row>
    <row r="70" spans="1:13" x14ac:dyDescent="0.15">
      <c r="A70" s="2">
        <f t="shared" ca="1" si="1"/>
        <v>42916</v>
      </c>
      <c r="B70" s="5">
        <f>'20161118 当日委托查询'!H70</f>
        <v>0</v>
      </c>
      <c r="C70" s="7" t="s">
        <v>25</v>
      </c>
      <c r="D70" s="7" t="s">
        <v>26</v>
      </c>
      <c r="E70" s="7" t="s">
        <v>27</v>
      </c>
      <c r="F70" s="7"/>
      <c r="G70" s="7"/>
      <c r="H70" s="7">
        <f>'20161118 当日委托查询'!J70</f>
        <v>0</v>
      </c>
      <c r="I70" s="7" t="str">
        <f>IF('20161118 当日委托查询'!B70="卖出","S","B")</f>
        <v>B</v>
      </c>
      <c r="J70" s="7" t="s">
        <v>28</v>
      </c>
      <c r="K70" s="7">
        <f>IF(I70="S",-1*'20161118 当日委托查询'!F70,'20161118 当日委托查询'!F70)</f>
        <v>0</v>
      </c>
      <c r="L70" s="7">
        <v>1</v>
      </c>
      <c r="M70" s="7">
        <f>'20161118 当日委托查询'!E70</f>
        <v>0</v>
      </c>
    </row>
    <row r="71" spans="1:13" x14ac:dyDescent="0.15">
      <c r="A71" s="2">
        <f t="shared" ca="1" si="1"/>
        <v>42916</v>
      </c>
      <c r="B71" s="5">
        <f>'20161118 当日委托查询'!H71</f>
        <v>0</v>
      </c>
      <c r="C71" s="7" t="s">
        <v>25</v>
      </c>
      <c r="D71" s="7" t="s">
        <v>26</v>
      </c>
      <c r="E71" s="7" t="s">
        <v>27</v>
      </c>
      <c r="F71" s="7"/>
      <c r="G71" s="7"/>
      <c r="H71" s="7">
        <f>'20161118 当日委托查询'!J71</f>
        <v>0</v>
      </c>
      <c r="I71" s="7" t="str">
        <f>IF('20161118 当日委托查询'!B71="卖出","S","B")</f>
        <v>B</v>
      </c>
      <c r="J71" s="7" t="s">
        <v>28</v>
      </c>
      <c r="K71" s="7">
        <f>IF(I71="S",-1*'20161118 当日委托查询'!F71,'20161118 当日委托查询'!F71)</f>
        <v>0</v>
      </c>
      <c r="L71" s="7">
        <v>1</v>
      </c>
      <c r="M71" s="7">
        <f>'20161118 当日委托查询'!E71</f>
        <v>0</v>
      </c>
    </row>
    <row r="72" spans="1:13" x14ac:dyDescent="0.15">
      <c r="A72" s="2">
        <f t="shared" ca="1" si="1"/>
        <v>42916</v>
      </c>
      <c r="B72" s="5">
        <f>'20161118 当日委托查询'!H72</f>
        <v>0</v>
      </c>
      <c r="C72" s="7" t="s">
        <v>25</v>
      </c>
      <c r="D72" s="7" t="s">
        <v>26</v>
      </c>
      <c r="E72" s="7" t="s">
        <v>27</v>
      </c>
      <c r="F72" s="7"/>
      <c r="G72" s="7"/>
      <c r="H72" s="7">
        <f>'20161118 当日委托查询'!J72</f>
        <v>0</v>
      </c>
      <c r="I72" s="7" t="str">
        <f>IF('20161118 当日委托查询'!B72="卖出","S","B")</f>
        <v>B</v>
      </c>
      <c r="J72" s="7" t="s">
        <v>28</v>
      </c>
      <c r="K72" s="7">
        <f>IF(I72="S",-1*'20161118 当日委托查询'!F72,'20161118 当日委托查询'!F72)</f>
        <v>0</v>
      </c>
      <c r="L72" s="7">
        <v>1</v>
      </c>
      <c r="M72" s="7">
        <f>'20161118 当日委托查询'!E72</f>
        <v>0</v>
      </c>
    </row>
    <row r="73" spans="1:13" x14ac:dyDescent="0.15">
      <c r="A73" s="2">
        <f t="shared" ca="1" si="1"/>
        <v>42916</v>
      </c>
      <c r="B73" s="5">
        <f>'20161118 当日委托查询'!H73</f>
        <v>0</v>
      </c>
      <c r="C73" s="7" t="s">
        <v>25</v>
      </c>
      <c r="D73" s="7" t="s">
        <v>26</v>
      </c>
      <c r="E73" s="7" t="s">
        <v>27</v>
      </c>
      <c r="F73" s="7"/>
      <c r="G73" s="7"/>
      <c r="H73" s="7">
        <f>'20161118 当日委托查询'!J73</f>
        <v>0</v>
      </c>
      <c r="I73" s="7" t="str">
        <f>IF('20161118 当日委托查询'!B73="卖出","S","B")</f>
        <v>B</v>
      </c>
      <c r="J73" s="7" t="s">
        <v>28</v>
      </c>
      <c r="K73" s="7">
        <f>IF(I73="S",-1*'20161118 当日委托查询'!F73,'20161118 当日委托查询'!F73)</f>
        <v>0</v>
      </c>
      <c r="L73" s="7">
        <v>1</v>
      </c>
      <c r="M73" s="7">
        <f>'20161118 当日委托查询'!E73</f>
        <v>0</v>
      </c>
    </row>
    <row r="74" spans="1:13" x14ac:dyDescent="0.15">
      <c r="A74" s="2">
        <f t="shared" ca="1" si="1"/>
        <v>42916</v>
      </c>
      <c r="B74" s="5">
        <f>'20161118 当日委托查询'!H74</f>
        <v>0</v>
      </c>
      <c r="C74" s="7" t="s">
        <v>25</v>
      </c>
      <c r="D74" s="7" t="s">
        <v>26</v>
      </c>
      <c r="E74" s="7" t="s">
        <v>27</v>
      </c>
      <c r="F74" s="7"/>
      <c r="G74" s="7"/>
      <c r="H74" s="7">
        <f>'20161118 当日委托查询'!J74</f>
        <v>0</v>
      </c>
      <c r="I74" s="7" t="str">
        <f>IF('20161118 当日委托查询'!B74="卖出","S","B")</f>
        <v>B</v>
      </c>
      <c r="J74" s="7" t="s">
        <v>28</v>
      </c>
      <c r="K74" s="7">
        <f>IF(I74="S",-1*'20161118 当日委托查询'!F74,'20161118 当日委托查询'!F74)</f>
        <v>0</v>
      </c>
      <c r="L74" s="7">
        <v>1</v>
      </c>
      <c r="M74" s="7">
        <f>'20161118 当日委托查询'!E74</f>
        <v>0</v>
      </c>
    </row>
    <row r="75" spans="1:13" x14ac:dyDescent="0.15">
      <c r="A75" s="2">
        <f t="shared" ca="1" si="1"/>
        <v>42916</v>
      </c>
      <c r="B75" s="5">
        <f>'20161118 当日委托查询'!H75</f>
        <v>0</v>
      </c>
      <c r="C75" s="7" t="s">
        <v>25</v>
      </c>
      <c r="D75" s="7" t="s">
        <v>26</v>
      </c>
      <c r="E75" s="7" t="s">
        <v>27</v>
      </c>
      <c r="F75" s="7"/>
      <c r="G75" s="7"/>
      <c r="H75" s="7">
        <f>'20161118 当日委托查询'!J75</f>
        <v>0</v>
      </c>
      <c r="I75" s="7" t="str">
        <f>IF('20161118 当日委托查询'!B75="卖出","S","B")</f>
        <v>B</v>
      </c>
      <c r="J75" s="7" t="s">
        <v>28</v>
      </c>
      <c r="K75" s="7">
        <f>IF(I75="S",-1*'20161118 当日委托查询'!F75,'20161118 当日委托查询'!F75)</f>
        <v>0</v>
      </c>
      <c r="L75" s="7">
        <v>1</v>
      </c>
      <c r="M75" s="7">
        <f>'20161118 当日委托查询'!E75</f>
        <v>0</v>
      </c>
    </row>
    <row r="76" spans="1:13" x14ac:dyDescent="0.15">
      <c r="A76" s="2">
        <f t="shared" ca="1" si="1"/>
        <v>42916</v>
      </c>
      <c r="B76" s="5">
        <f>'20161118 当日委托查询'!H76</f>
        <v>0</v>
      </c>
      <c r="C76" s="7" t="s">
        <v>25</v>
      </c>
      <c r="D76" s="7" t="s">
        <v>26</v>
      </c>
      <c r="E76" s="7" t="s">
        <v>27</v>
      </c>
      <c r="F76" s="7"/>
      <c r="G76" s="7"/>
      <c r="H76" s="7">
        <f>'20161118 当日委托查询'!J76</f>
        <v>0</v>
      </c>
      <c r="I76" s="7" t="str">
        <f>IF('20161118 当日委托查询'!B76="卖出","S","B")</f>
        <v>B</v>
      </c>
      <c r="J76" s="7" t="s">
        <v>28</v>
      </c>
      <c r="K76" s="7">
        <f>IF(I76="S",-1*'20161118 当日委托查询'!F76,'20161118 当日委托查询'!F76)</f>
        <v>0</v>
      </c>
      <c r="L76" s="7">
        <v>1</v>
      </c>
      <c r="M76" s="7">
        <f>'20161118 当日委托查询'!E76</f>
        <v>0</v>
      </c>
    </row>
    <row r="77" spans="1:13" x14ac:dyDescent="0.15">
      <c r="A77" s="2">
        <f t="shared" ca="1" si="1"/>
        <v>42916</v>
      </c>
      <c r="B77" s="5">
        <f>'20161118 当日委托查询'!H77</f>
        <v>0</v>
      </c>
      <c r="C77" s="7" t="s">
        <v>25</v>
      </c>
      <c r="D77" s="7" t="s">
        <v>26</v>
      </c>
      <c r="E77" s="7" t="s">
        <v>27</v>
      </c>
      <c r="F77" s="7"/>
      <c r="G77" s="7"/>
      <c r="H77" s="7">
        <f>'20161118 当日委托查询'!J77</f>
        <v>0</v>
      </c>
      <c r="I77" s="7" t="str">
        <f>IF('20161118 当日委托查询'!B77="卖出","S","B")</f>
        <v>B</v>
      </c>
      <c r="J77" s="7" t="s">
        <v>28</v>
      </c>
      <c r="K77" s="7">
        <f>IF(I77="S",-1*'20161118 当日委托查询'!F77,'20161118 当日委托查询'!F77)</f>
        <v>0</v>
      </c>
      <c r="L77" s="7">
        <v>1</v>
      </c>
      <c r="M77" s="7">
        <f>'20161118 当日委托查询'!E77</f>
        <v>0</v>
      </c>
    </row>
    <row r="78" spans="1:13" x14ac:dyDescent="0.15">
      <c r="A78" s="2">
        <f t="shared" ca="1" si="1"/>
        <v>42916</v>
      </c>
      <c r="B78" s="5">
        <f>'20161118 当日委托查询'!H78</f>
        <v>0</v>
      </c>
      <c r="C78" s="7" t="s">
        <v>25</v>
      </c>
      <c r="D78" s="7" t="s">
        <v>26</v>
      </c>
      <c r="E78" s="7" t="s">
        <v>27</v>
      </c>
      <c r="F78" s="7"/>
      <c r="G78" s="7"/>
      <c r="H78" s="7">
        <f>'20161118 当日委托查询'!J78</f>
        <v>0</v>
      </c>
      <c r="I78" s="7" t="str">
        <f>IF('20161118 当日委托查询'!B78="卖出","S","B")</f>
        <v>B</v>
      </c>
      <c r="J78" s="7" t="s">
        <v>28</v>
      </c>
      <c r="K78" s="7">
        <f>IF(I78="S",-1*'20161118 当日委托查询'!F78,'20161118 当日委托查询'!F78)</f>
        <v>0</v>
      </c>
      <c r="L78" s="7">
        <v>1</v>
      </c>
      <c r="M78" s="7">
        <f>'20161118 当日委托查询'!E78</f>
        <v>0</v>
      </c>
    </row>
  </sheetData>
  <phoneticPr fontId="18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A9" sqref="A9"/>
    </sheetView>
  </sheetViews>
  <sheetFormatPr defaultRowHeight="13.5" x14ac:dyDescent="0.15"/>
  <sheetData/>
  <phoneticPr fontId="18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A2" sqref="A2"/>
    </sheetView>
  </sheetViews>
  <sheetFormatPr defaultRowHeight="13.5" x14ac:dyDescent="0.15"/>
  <sheetData/>
  <phoneticPr fontId="1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20161118 当日委托查询</vt:lpstr>
      <vt:lpstr>Main</vt:lpstr>
      <vt:lpstr>Sheet1</vt:lpstr>
      <vt:lpstr>Sheet2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LUke</cp:lastModifiedBy>
  <cp:lastPrinted>2017-04-21T07:02:55Z</cp:lastPrinted>
  <dcterms:created xsi:type="dcterms:W3CDTF">2016-11-18T07:31:11Z</dcterms:created>
  <dcterms:modified xsi:type="dcterms:W3CDTF">2017-06-30T07:28:04Z</dcterms:modified>
</cp:coreProperties>
</file>