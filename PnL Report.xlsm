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80" windowWidth="16605" windowHeight="9135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<sst xmlns="http://schemas.openxmlformats.org/spreadsheetml/2006/main" count="419" uniqueCount="69">
  <si>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</si>
  <si>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</si>
  <si>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</si>
  <si>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</si>
  <si>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</si>
  <si>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</si>
  <si>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</si>
  <si>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</si>
  <si>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</si>
  <si>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</si>
  <si>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</si>
  <si>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</si>
  <si>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</si>
  <si>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</si>
  <si>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</si>
  <si>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</si>
  <si>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</si>
  <si>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</si>
  <si>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</si>
  <si>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</si>
  <si>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</si>
  <si>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</si>
  <si>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</si>
  <si>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</si>
  <si>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</si>
  <si>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</si>
  <si>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</si>
  <si>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</si>
  <si>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</si>
  <si>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</si>
  <si>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</si>
  <si>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</si>
  <si>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</si>
  <si>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</si>
  <si>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50ETF</t>
  </si>
  <si>
    <t>510050</t>
  </si>
  <si>
    <t>卖出</t>
  </si>
  <si>
    <t>14:55:47</t>
  </si>
  <si>
    <t>2083</t>
  </si>
  <si>
    <t>0013258</t>
  </si>
  <si>
    <t>格力电器</t>
  </si>
  <si>
    <t>14:44:41</t>
  </si>
  <si>
    <t>2080</t>
  </si>
  <si>
    <t>000651</t>
  </si>
  <si>
    <t>0174291408</t>
  </si>
  <si>
    <t>00008CB</t>
  </si>
  <si>
    <t>14:44:20</t>
  </si>
  <si>
    <t>2077</t>
  </si>
  <si>
    <t>00008BT</t>
  </si>
  <si>
    <t>GC001</t>
  </si>
  <si>
    <t>14:37:07</t>
  </si>
  <si>
    <t>2074</t>
  </si>
  <si>
    <t>204001</t>
  </si>
  <si>
    <t>0012506</t>
  </si>
  <si>
    <t>14:36:41</t>
  </si>
  <si>
    <t>2071</t>
  </si>
  <si>
    <t>0012488</t>
  </si>
  <si>
    <t>14:30:38</t>
  </si>
  <si>
    <t>2068</t>
  </si>
  <si>
    <t>0012310</t>
  </si>
  <si>
    <t>14:29:28</t>
  </si>
  <si>
    <t>2064</t>
  </si>
  <si>
    <t>0012280</t>
  </si>
  <si>
    <t>14:27:48</t>
  </si>
  <si>
    <t>2061</t>
  </si>
  <si>
    <t>0012225</t>
  </si>
  <si>
    <t>14:15:27</t>
  </si>
  <si>
    <t>2052</t>
  </si>
  <si>
    <t>0011806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</si>
</sst>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zoomScale="130" zoomScaleNormal="130" workbookViewId="0">
      <pane ySplit="1" topLeftCell="A2" activePane="bottomLeft" state="frozen"/>
      <selection pane="bottomLeft" activeCell="A2" sqref="A2:N10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36</v>
      </c>
      <c r="C2" s="7">
        <v>2.6779999999999999</v>
      </c>
      <c r="D2" s="7">
        <v>40000</v>
      </c>
      <c r="E2" s="7">
        <v>2.6779999999999999</v>
      </c>
      <c r="F2" s="7">
        <v>40000</v>
      </c>
      <c r="G2" s="7" t="s">
        <v>29</v>
      </c>
      <c r="H2" s="7" t="s">
        <v>37</v>
      </c>
      <c r="I2" s="7" t="s">
        <v>38</v>
      </c>
      <c r="J2" s="7" t="s">
        <v>35</v>
      </c>
      <c r="K2" s="7" t="s">
        <v>30</v>
      </c>
      <c r="L2" s="7" t="s">
        <v>31</v>
      </c>
      <c r="M2" s="7" t="s">
        <v>32</v>
      </c>
      <c r="N2" s="7" t="s">
        <v>39</v>
      </c>
      <c r="O2" s="4"/>
    </row>
    <row r="3" spans="1:15" x14ac:dyDescent="0.15">
      <c r="A3" s="7" t="s">
        <v>40</v>
      </c>
      <c r="B3" s="7" t="s">
        <v>33</v>
      </c>
      <c r="C3" s="7">
        <v>39.01</v>
      </c>
      <c r="D3" s="7">
        <v>400</v>
      </c>
      <c r="E3" s="7">
        <v>39.01</v>
      </c>
      <c r="F3" s="7">
        <v>400</v>
      </c>
      <c r="G3" s="7" t="s">
        <v>29</v>
      </c>
      <c r="H3" s="7" t="s">
        <v>41</v>
      </c>
      <c r="I3" s="7" t="s">
        <v>42</v>
      </c>
      <c r="J3" s="7" t="s">
        <v>43</v>
      </c>
      <c r="K3" s="7" t="s">
        <v>44</v>
      </c>
      <c r="L3" s="7" t="s">
        <v>31</v>
      </c>
      <c r="M3" s="7" t="s">
        <v>32</v>
      </c>
      <c r="N3" s="7" t="s">
        <v>45</v>
      </c>
      <c r="O3" s="4"/>
    </row>
    <row r="4" spans="1:15" x14ac:dyDescent="0.15">
      <c r="A4" s="7" t="s">
        <v>40</v>
      </c>
      <c r="B4" s="7" t="s">
        <v>33</v>
      </c>
      <c r="C4" s="7">
        <v>39.01</v>
      </c>
      <c r="D4" s="7">
        <v>1000</v>
      </c>
      <c r="E4" s="7">
        <v>39.01</v>
      </c>
      <c r="F4" s="7">
        <v>1000</v>
      </c>
      <c r="G4" s="7" t="s">
        <v>29</v>
      </c>
      <c r="H4" s="7" t="s">
        <v>46</v>
      </c>
      <c r="I4" s="7" t="s">
        <v>47</v>
      </c>
      <c r="J4" s="7" t="s">
        <v>43</v>
      </c>
      <c r="K4" s="7" t="s">
        <v>44</v>
      </c>
      <c r="L4" s="7" t="s">
        <v>31</v>
      </c>
      <c r="M4" s="7" t="s">
        <v>32</v>
      </c>
      <c r="N4" s="7" t="s">
        <v>48</v>
      </c>
    </row>
    <row r="5" spans="1:15" x14ac:dyDescent="0.15">
      <c r="A5" s="7" t="s">
        <v>49</v>
      </c>
      <c r="B5" s="7" t="s">
        <v>36</v>
      </c>
      <c r="C5" s="7">
        <v>4.0999999999999996</v>
      </c>
      <c r="D5" s="7">
        <v>500</v>
      </c>
      <c r="E5" s="7">
        <v>4.0999999999999996</v>
      </c>
      <c r="F5" s="7">
        <v>500</v>
      </c>
      <c r="G5" s="7" t="s">
        <v>29</v>
      </c>
      <c r="H5" s="7" t="s">
        <v>50</v>
      </c>
      <c r="I5" s="7" t="s">
        <v>51</v>
      </c>
      <c r="J5" s="7" t="s">
        <v>52</v>
      </c>
      <c r="K5" s="7" t="s">
        <v>30</v>
      </c>
      <c r="L5" s="7" t="s">
        <v>31</v>
      </c>
      <c r="M5" s="7" t="s">
        <v>32</v>
      </c>
      <c r="N5" s="7" t="s">
        <v>53</v>
      </c>
    </row>
    <row r="6" spans="1:15" x14ac:dyDescent="0.15">
      <c r="A6" s="7" t="s">
        <v>34</v>
      </c>
      <c r="B6" s="7" t="s">
        <v>36</v>
      </c>
      <c r="C6" s="7">
        <v>2.6789999999999998</v>
      </c>
      <c r="D6" s="7">
        <v>50000</v>
      </c>
      <c r="E6" s="7">
        <v>2.6789999999999998</v>
      </c>
      <c r="F6" s="7">
        <v>50000</v>
      </c>
      <c r="G6" s="7" t="s">
        <v>29</v>
      </c>
      <c r="H6" s="7" t="s">
        <v>54</v>
      </c>
      <c r="I6" s="7" t="s">
        <v>55</v>
      </c>
      <c r="J6" s="7" t="s">
        <v>35</v>
      </c>
      <c r="K6" s="7" t="s">
        <v>30</v>
      </c>
      <c r="L6" s="7" t="s">
        <v>31</v>
      </c>
      <c r="M6" s="7" t="s">
        <v>32</v>
      </c>
      <c r="N6" s="7" t="s">
        <v>56</v>
      </c>
    </row>
    <row r="7" spans="1:15" x14ac:dyDescent="0.15">
      <c r="A7" s="7" t="s">
        <v>34</v>
      </c>
      <c r="B7" s="7" t="s">
        <v>36</v>
      </c>
      <c r="C7" s="7">
        <v>2.68</v>
      </c>
      <c r="D7" s="7">
        <v>50000</v>
      </c>
      <c r="E7" s="7">
        <v>2.68</v>
      </c>
      <c r="F7" s="7">
        <v>50000</v>
      </c>
      <c r="G7" s="7" t="s">
        <v>29</v>
      </c>
      <c r="H7" s="7" t="s">
        <v>57</v>
      </c>
      <c r="I7" s="7" t="s">
        <v>58</v>
      </c>
      <c r="J7" s="7" t="s">
        <v>35</v>
      </c>
      <c r="K7" s="7" t="s">
        <v>30</v>
      </c>
      <c r="L7" s="7" t="s">
        <v>31</v>
      </c>
      <c r="M7" s="7" t="s">
        <v>32</v>
      </c>
      <c r="N7" s="7" t="s">
        <v>59</v>
      </c>
      <c r="O7" s="7"/>
    </row>
    <row r="8" spans="1:15" x14ac:dyDescent="0.15">
      <c r="A8" s="7" t="s">
        <v>34</v>
      </c>
      <c r="B8" s="7" t="s">
        <v>36</v>
      </c>
      <c r="C8" s="7">
        <v>2.6789999999999998</v>
      </c>
      <c r="D8" s="7">
        <v>50000</v>
      </c>
      <c r="E8" s="7">
        <v>2.6789999999999998</v>
      </c>
      <c r="F8" s="7">
        <v>50000</v>
      </c>
      <c r="G8" s="7" t="s">
        <v>29</v>
      </c>
      <c r="H8" s="7" t="s">
        <v>60</v>
      </c>
      <c r="I8" s="7" t="s">
        <v>61</v>
      </c>
      <c r="J8" s="7" t="s">
        <v>35</v>
      </c>
      <c r="K8" s="7" t="s">
        <v>30</v>
      </c>
      <c r="L8" s="7" t="s">
        <v>31</v>
      </c>
      <c r="M8" s="7" t="s">
        <v>32</v>
      </c>
      <c r="N8" s="7" t="s">
        <v>62</v>
      </c>
    </row>
    <row r="9" spans="1:15" x14ac:dyDescent="0.15">
      <c r="A9" s="7" t="s">
        <v>34</v>
      </c>
      <c r="B9" s="7" t="s">
        <v>36</v>
      </c>
      <c r="C9" s="7">
        <v>2.6779999999999999</v>
      </c>
      <c r="D9" s="7">
        <v>50000</v>
      </c>
      <c r="E9" s="7">
        <v>2.6779999999999999</v>
      </c>
      <c r="F9" s="7">
        <v>50000</v>
      </c>
      <c r="G9" s="7" t="s">
        <v>29</v>
      </c>
      <c r="H9" s="7" t="s">
        <v>63</v>
      </c>
      <c r="I9" s="7" t="s">
        <v>64</v>
      </c>
      <c r="J9" s="7" t="s">
        <v>35</v>
      </c>
      <c r="K9" s="7" t="s">
        <v>30</v>
      </c>
      <c r="L9" s="7" t="s">
        <v>31</v>
      </c>
      <c r="M9" s="7" t="s">
        <v>32</v>
      </c>
      <c r="N9" s="7" t="s">
        <v>65</v>
      </c>
    </row>
    <row r="10" spans="1:15" x14ac:dyDescent="0.15">
      <c r="A10" s="7" t="s">
        <v>34</v>
      </c>
      <c r="B10" s="7" t="s">
        <v>36</v>
      </c>
      <c r="C10" s="7">
        <v>2.6779999999999999</v>
      </c>
      <c r="D10" s="7">
        <v>7500</v>
      </c>
      <c r="E10" s="7">
        <v>2.6779999999999999</v>
      </c>
      <c r="F10" s="7">
        <v>7500</v>
      </c>
      <c r="G10" s="7" t="s">
        <v>29</v>
      </c>
      <c r="H10" s="7" t="s">
        <v>66</v>
      </c>
      <c r="I10" s="7" t="s">
        <v>67</v>
      </c>
      <c r="J10" s="7" t="s">
        <v>35</v>
      </c>
      <c r="K10" s="7" t="s">
        <v>30</v>
      </c>
      <c r="L10" s="7" t="s">
        <v>31</v>
      </c>
      <c r="M10" s="7" t="s">
        <v>32</v>
      </c>
      <c r="N10" s="7" t="s">
        <v>68</v>
      </c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2" sqref="I1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42943</v>
      </c>
      <c r="B2" s="5" t="str">
        <f>'20161118 当日委托查询'!H2</f>
        <v>14:55:47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510050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-40000</v>
      </c>
      <c r="L2" s="7">
        <v>1</v>
      </c>
      <c r="M2" s="7">
        <f>'20161118 当日委托查询'!E2</f>
        <v>2.6779999999999999</v>
      </c>
    </row>
    <row r="3" spans="1:25" x14ac:dyDescent="0.15">
      <c r="A3" s="2">
        <f t="shared" ca="1" si="0"/>
        <v>42943</v>
      </c>
      <c r="B3" s="5" t="str">
        <f>'20161118 当日委托查询'!H3</f>
        <v>14:44:41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000651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400</v>
      </c>
      <c r="L3" s="7">
        <v>1</v>
      </c>
      <c r="M3" s="7">
        <f>'20161118 当日委托查询'!E3</f>
        <v>39.01</v>
      </c>
    </row>
    <row r="4" spans="1:25" x14ac:dyDescent="0.15">
      <c r="A4" s="2">
        <f t="shared" ca="1" si="0"/>
        <v>42943</v>
      </c>
      <c r="B4" s="5" t="str">
        <f>'20161118 当日委托查询'!H4</f>
        <v>14:44:20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000651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1000</v>
      </c>
      <c r="L4" s="7">
        <v>1</v>
      </c>
      <c r="M4" s="7">
        <f>'20161118 当日委托查询'!E4</f>
        <v>39.01</v>
      </c>
    </row>
    <row r="5" spans="1:25" x14ac:dyDescent="0.15">
      <c r="A5" s="2">
        <f t="shared" ca="1" si="0"/>
        <v>42943</v>
      </c>
      <c r="B5" s="5" t="str">
        <f>'20161118 当日委托查询'!H5</f>
        <v>14:37:07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204001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-500</v>
      </c>
      <c r="L5" s="7">
        <v>1</v>
      </c>
      <c r="M5" s="7">
        <f>'20161118 当日委托查询'!E5</f>
        <v>4.0999999999999996</v>
      </c>
    </row>
    <row r="6" spans="1:25" x14ac:dyDescent="0.15">
      <c r="A6" s="2">
        <f t="shared" ca="1" si="0"/>
        <v>42943</v>
      </c>
      <c r="B6" s="5" t="str">
        <f>'20161118 当日委托查询'!H6</f>
        <v>14:36:41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510050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-50000</v>
      </c>
      <c r="L6" s="7">
        <v>1</v>
      </c>
      <c r="M6" s="7">
        <f>'20161118 当日委托查询'!E6</f>
        <v>2.6789999999999998</v>
      </c>
    </row>
    <row r="7" spans="1:25" x14ac:dyDescent="0.15">
      <c r="A7" s="2">
        <f t="shared" ca="1" si="0"/>
        <v>42943</v>
      </c>
      <c r="B7" s="5" t="str">
        <f>'20161118 当日委托查询'!H7</f>
        <v>14:30:38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510050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-50000</v>
      </c>
      <c r="L7" s="7">
        <v>1</v>
      </c>
      <c r="M7" s="7">
        <f>'20161118 当日委托查询'!E7</f>
        <v>2.68</v>
      </c>
    </row>
    <row r="8" spans="1:25" x14ac:dyDescent="0.15">
      <c r="A8" s="2">
        <f t="shared" ca="1" si="0"/>
        <v>42943</v>
      </c>
      <c r="B8" s="5" t="str">
        <f>'20161118 当日委托查询'!H8</f>
        <v>14:29:28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510050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-50000</v>
      </c>
      <c r="L8" s="7">
        <v>1</v>
      </c>
      <c r="M8" s="7">
        <f>'20161118 当日委托查询'!E8</f>
        <v>2.6789999999999998</v>
      </c>
    </row>
    <row r="9" spans="1:25" x14ac:dyDescent="0.15">
      <c r="A9" s="2">
        <f t="shared" ca="1" si="0"/>
        <v>42943</v>
      </c>
      <c r="B9" s="5" t="str">
        <f>'20161118 当日委托查询'!H9</f>
        <v>14:27:48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510050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-50000</v>
      </c>
      <c r="L9" s="7">
        <v>1</v>
      </c>
      <c r="M9" s="7">
        <f>'20161118 当日委托查询'!E9</f>
        <v>2.6779999999999999</v>
      </c>
    </row>
    <row r="10" spans="1:25" x14ac:dyDescent="0.15">
      <c r="A10" s="2">
        <f t="shared" ca="1" si="0"/>
        <v>42943</v>
      </c>
      <c r="B10" s="5" t="str">
        <f>'20161118 当日委托查询'!H10</f>
        <v>14:15:27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510050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-7500</v>
      </c>
      <c r="L10" s="7">
        <v>1</v>
      </c>
      <c r="M10" s="7">
        <f>'20161118 当日委托查询'!E10</f>
        <v>2.6779999999999999</v>
      </c>
    </row>
    <row r="11" spans="1:25" x14ac:dyDescent="0.15">
      <c r="A11" s="2">
        <f t="shared" ca="1" si="0"/>
        <v>42943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42943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42943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42943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42943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42943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42943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42943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42943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42943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42943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42943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42943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42943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42943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42943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42943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42943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42943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42943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42943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42943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42943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42943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42943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42943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42943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42943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42943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42943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42943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42943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42943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42943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42943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42943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42943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42943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42943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42943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42943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42943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42943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42943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42943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42943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42943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42943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42943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42943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42943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42943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42943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42943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42943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42943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42943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42943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42943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42943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42943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42943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42943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42943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42943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42943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42943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2017-07-27T07:56:07Z</dcterms:modified>
</cp:coreProperties>
</file>