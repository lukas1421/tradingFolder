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750" windowWidth="16605" windowHeight="9165" activeTab="1"/>
  </bookViews>
  <sheets>
    <sheet name="20161118 当日委托查询" sheetId="1" r:id="rId1"/>
    <sheet name="Main" sheetId="4" r:id="rId2"/>
    <sheet name="Sheet1" sheetId="2" r:id="rId3"/>
    <sheet name="Sheet2" sheetId="3" r:id="rId4"/>
  </sheets>
  <definedNames>
    <definedName name="_xlnm._FilterDatabase" localSheetId="0" hidden="1">'20161118 当日委托查询'!$A$1:$O$1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B2" i="4" l="1"/>
  <c r="O44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<sst xmlns="http://schemas.openxmlformats.org/spreadsheetml/2006/main" count="599" uniqueCount="132">
  <si>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</si>
  <si>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</si>
  <si>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</si>
  <si>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</si>
  <si>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</si>
  <si>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</si>
  <si>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</si>
  <si>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</si>
  <si>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</si>
  <si>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</si>
  <si>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</si>
  <si>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</si>
  <si>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</si>
  <si>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</si>
  <si>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</si>
  <si>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</si>
  <si>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</si>
  <si>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</si>
  <si>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</si>
  <si>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</si>
  <si>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</si>
  <si>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</si>
  <si>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</si>
  <si>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</si>
  <si>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</si>
  <si>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</si>
  <si>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</si>
  <si>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</si>
  <si>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</si>
  <si>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已成交</t>
  </si>
  <si>
    <t>A153608419</t>
  </si>
  <si>
    <t>限价</t>
  </si>
  <si>
    <t>网上委托</t>
  </si>
  <si>
    <t>卖出</t>
  </si>
  <si>
    <t>0174291408</t>
  </si>
  <si>
    <t>上汽集团</t>
  </si>
  <si>
    <t>600104</t>
  </si>
  <si>
    <t>格力电器</t>
  </si>
  <si>
    <t>000651</t>
  </si>
  <si>
    <t>贵州茅台</t>
  </si>
  <si>
    <t>600519</t>
  </si>
  <si>
    <t>海康威视</t>
  </si>
  <si>
    <t>002415</t>
  </si>
  <si>
    <t>大族激光</t>
  </si>
  <si>
    <t>002008</t>
  </si>
  <si>
    <t>14:57:56</t>
  </si>
  <si>
    <t>1624</t>
  </si>
  <si>
    <t>0005580</t>
  </si>
  <si>
    <t>14:56:08</t>
  </si>
  <si>
    <t>1619</t>
  </si>
  <si>
    <t>00005VK</t>
  </si>
  <si>
    <t>14:55:55</t>
  </si>
  <si>
    <t>1616</t>
  </si>
  <si>
    <t>00005V5</t>
  </si>
  <si>
    <t>东方证券</t>
  </si>
  <si>
    <t>买入</t>
  </si>
  <si>
    <t>14:34:57</t>
  </si>
  <si>
    <t>1613</t>
  </si>
  <si>
    <t>600958</t>
  </si>
  <si>
    <t>0005057</t>
  </si>
  <si>
    <t>14:27:07</t>
  </si>
  <si>
    <t>1607</t>
  </si>
  <si>
    <t>0000558</t>
  </si>
  <si>
    <t>14:26:34</t>
  </si>
  <si>
    <t>1602</t>
  </si>
  <si>
    <t>0004857</t>
  </si>
  <si>
    <t>14:18:31</t>
  </si>
  <si>
    <t>1596</t>
  </si>
  <si>
    <t>0004669</t>
  </si>
  <si>
    <t>14:18:01</t>
  </si>
  <si>
    <t>1593</t>
  </si>
  <si>
    <t>00004WV</t>
  </si>
  <si>
    <t>14:16:13</t>
  </si>
  <si>
    <t>1590</t>
  </si>
  <si>
    <t>00004UZ</t>
  </si>
  <si>
    <t>14:14:54</t>
  </si>
  <si>
    <t>1587</t>
  </si>
  <si>
    <t>00004TT</t>
  </si>
  <si>
    <t>14:13:35</t>
  </si>
  <si>
    <t>1584</t>
  </si>
  <si>
    <t>00004T7</t>
  </si>
  <si>
    <t>14:09:34</t>
  </si>
  <si>
    <t>1580</t>
  </si>
  <si>
    <t>00004QI</t>
  </si>
  <si>
    <t>14:03:49</t>
  </si>
  <si>
    <t>1578</t>
  </si>
  <si>
    <t>00004LT</t>
  </si>
  <si>
    <t>14:01:29</t>
  </si>
  <si>
    <t>1573</t>
  </si>
  <si>
    <t>00004JR</t>
  </si>
  <si>
    <t>14:01:01</t>
  </si>
  <si>
    <t>1569</t>
  </si>
  <si>
    <t>00004JA</t>
  </si>
  <si>
    <t>13:42:38</t>
  </si>
  <si>
    <t>1566</t>
  </si>
  <si>
    <t>0000473</t>
  </si>
  <si>
    <t>13:12:19</t>
  </si>
  <si>
    <t>1563</t>
  </si>
  <si>
    <t>00003U3</t>
  </si>
  <si>
    <t>13:11:28</t>
  </si>
  <si>
    <t>1560</t>
  </si>
  <si>
    <t>00003TN</t>
  </si>
  <si>
    <t>13:10:45</t>
  </si>
  <si>
    <t>1557</t>
  </si>
  <si>
    <t>0003675</t>
  </si>
  <si>
    <t>09:46:36</t>
  </si>
  <si>
    <t>1546</t>
  </si>
  <si>
    <t>000019X</t>
  </si>
  <si>
    <t>09:46:23</t>
  </si>
  <si>
    <t>1543</t>
  </si>
  <si>
    <t>0001142</t>
  </si>
  <si>
    <t>长江电力</t>
  </si>
  <si>
    <t>部分成交</t>
  </si>
  <si>
    <t>09:46:13</t>
  </si>
  <si>
    <t>1540</t>
  </si>
  <si>
    <t>600900</t>
  </si>
  <si>
    <t>0001124</t>
  </si>
  <si>
    <t>09:46:02</t>
  </si>
  <si>
    <t>1536</t>
  </si>
  <si>
    <t>000018B</t>
  </si>
  <si>
    <t>09:45:26</t>
  </si>
  <si>
    <t>1533</t>
  </si>
  <si>
    <t>0000167</t>
  </si>
  <si>
    <t>09:44:31</t>
  </si>
  <si>
    <t>1529</t>
  </si>
  <si>
    <t>0000988</t>
  </si>
  <si>
    <t>09:43:02</t>
  </si>
  <si>
    <t>1525</t>
  </si>
  <si>
    <t>00000YZ</t>
  </si>
  <si>
    <t>09:42:23</t>
  </si>
  <si>
    <t>1520</t>
  </si>
  <si>
    <t>00000X8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</si>
</sst>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zoomScale="130" zoomScaleNormal="130" workbookViewId="0">
      <pane ySplit="1" topLeftCell="A2" activePane="bottomLeft" state="frozen"/>
      <selection pane="bottomLeft" activeCell="A2" sqref="A2:N28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35</v>
      </c>
      <c r="B2" s="7" t="s">
        <v>33</v>
      </c>
      <c r="C2" s="7">
        <v>32.090000000000003</v>
      </c>
      <c r="D2" s="7">
        <v>1200</v>
      </c>
      <c r="E2" s="7">
        <v>32.090000000000003</v>
      </c>
      <c r="F2" s="7">
        <v>1200</v>
      </c>
      <c r="G2" s="7" t="s">
        <v>29</v>
      </c>
      <c r="H2" s="7" t="s">
        <v>45</v>
      </c>
      <c r="I2" s="7" t="s">
        <v>46</v>
      </c>
      <c r="J2" s="7" t="s">
        <v>36</v>
      </c>
      <c r="K2" s="7" t="s">
        <v>30</v>
      </c>
      <c r="L2" s="7" t="s">
        <v>31</v>
      </c>
      <c r="M2" s="7" t="s">
        <v>32</v>
      </c>
      <c r="N2" s="7" t="s">
        <v>47</v>
      </c>
      <c r="O2" s="4"/>
    </row>
    <row r="3" spans="1:15" x14ac:dyDescent="0.15">
      <c r="A3" s="7" t="s">
        <v>37</v>
      </c>
      <c r="B3" s="7" t="s">
        <v>33</v>
      </c>
      <c r="C3" s="7">
        <v>41.08</v>
      </c>
      <c r="D3" s="7">
        <v>2000</v>
      </c>
      <c r="E3" s="7">
        <v>41.08</v>
      </c>
      <c r="F3" s="7">
        <v>2000</v>
      </c>
      <c r="G3" s="7" t="s">
        <v>29</v>
      </c>
      <c r="H3" s="7" t="s">
        <v>48</v>
      </c>
      <c r="I3" s="7" t="s">
        <v>49</v>
      </c>
      <c r="J3" s="7" t="s">
        <v>38</v>
      </c>
      <c r="K3" s="7" t="s">
        <v>34</v>
      </c>
      <c r="L3" s="7" t="s">
        <v>31</v>
      </c>
      <c r="M3" s="7" t="s">
        <v>32</v>
      </c>
      <c r="N3" s="7" t="s">
        <v>50</v>
      </c>
      <c r="O3" s="4"/>
    </row>
    <row r="4" spans="1:15" x14ac:dyDescent="0.15">
      <c r="A4" s="7" t="s">
        <v>41</v>
      </c>
      <c r="B4" s="7" t="s">
        <v>33</v>
      </c>
      <c r="C4" s="7">
        <v>29.6</v>
      </c>
      <c r="D4" s="7">
        <v>2000</v>
      </c>
      <c r="E4" s="7">
        <v>29.7</v>
      </c>
      <c r="F4" s="7">
        <v>2000</v>
      </c>
      <c r="G4" s="7" t="s">
        <v>29</v>
      </c>
      <c r="H4" s="7" t="s">
        <v>51</v>
      </c>
      <c r="I4" s="7" t="s">
        <v>52</v>
      </c>
      <c r="J4" s="7" t="s">
        <v>42</v>
      </c>
      <c r="K4" s="7" t="s">
        <v>34</v>
      </c>
      <c r="L4" s="7" t="s">
        <v>31</v>
      </c>
      <c r="M4" s="7" t="s">
        <v>32</v>
      </c>
      <c r="N4" s="7" t="s">
        <v>53</v>
      </c>
    </row>
    <row r="5" spans="1:15" x14ac:dyDescent="0.15">
      <c r="A5" s="7" t="s">
        <v>54</v>
      </c>
      <c r="B5" s="7" t="s">
        <v>55</v>
      </c>
      <c r="C5" s="7">
        <v>14.23</v>
      </c>
      <c r="D5" s="7">
        <v>1400</v>
      </c>
      <c r="E5" s="7">
        <v>14.23</v>
      </c>
      <c r="F5" s="7">
        <v>1400</v>
      </c>
      <c r="G5" s="7" t="s">
        <v>29</v>
      </c>
      <c r="H5" s="7" t="s">
        <v>56</v>
      </c>
      <c r="I5" s="7" t="s">
        <v>57</v>
      </c>
      <c r="J5" s="7" t="s">
        <v>58</v>
      </c>
      <c r="K5" s="7" t="s">
        <v>30</v>
      </c>
      <c r="L5" s="7" t="s">
        <v>31</v>
      </c>
      <c r="M5" s="7" t="s">
        <v>32</v>
      </c>
      <c r="N5" s="7" t="s">
        <v>59</v>
      </c>
    </row>
    <row r="6" spans="1:15" x14ac:dyDescent="0.15">
      <c r="A6" s="7" t="s">
        <v>43</v>
      </c>
      <c r="B6" s="7" t="s">
        <v>55</v>
      </c>
      <c r="C6" s="7">
        <v>35.89</v>
      </c>
      <c r="D6" s="7">
        <v>1100</v>
      </c>
      <c r="E6" s="7">
        <v>35.89</v>
      </c>
      <c r="F6" s="7">
        <v>1100</v>
      </c>
      <c r="G6" s="7" t="s">
        <v>29</v>
      </c>
      <c r="H6" s="7" t="s">
        <v>60</v>
      </c>
      <c r="I6" s="7" t="s">
        <v>61</v>
      </c>
      <c r="J6" s="7" t="s">
        <v>44</v>
      </c>
      <c r="K6" s="7" t="s">
        <v>34</v>
      </c>
      <c r="L6" s="7" t="s">
        <v>31</v>
      </c>
      <c r="M6" s="7" t="s">
        <v>32</v>
      </c>
      <c r="N6" s="7" t="s">
        <v>62</v>
      </c>
    </row>
    <row r="7" spans="1:15" x14ac:dyDescent="0.15">
      <c r="A7" s="7" t="s">
        <v>54</v>
      </c>
      <c r="B7" s="7" t="s">
        <v>55</v>
      </c>
      <c r="C7" s="7">
        <v>14.3</v>
      </c>
      <c r="D7" s="7">
        <v>2700</v>
      </c>
      <c r="E7" s="7">
        <v>14.3</v>
      </c>
      <c r="F7" s="7">
        <v>2700</v>
      </c>
      <c r="G7" s="7" t="s">
        <v>29</v>
      </c>
      <c r="H7" s="7" t="s">
        <v>63</v>
      </c>
      <c r="I7" s="7" t="s">
        <v>64</v>
      </c>
      <c r="J7" s="7" t="s">
        <v>58</v>
      </c>
      <c r="K7" s="7" t="s">
        <v>30</v>
      </c>
      <c r="L7" s="7" t="s">
        <v>31</v>
      </c>
      <c r="M7" s="7" t="s">
        <v>32</v>
      </c>
      <c r="N7" s="7" t="s">
        <v>65</v>
      </c>
      <c r="O7" s="7"/>
    </row>
    <row r="8" spans="1:15" x14ac:dyDescent="0.15">
      <c r="A8" s="7" t="s">
        <v>39</v>
      </c>
      <c r="B8" s="7" t="s">
        <v>55</v>
      </c>
      <c r="C8" s="7">
        <v>449.16</v>
      </c>
      <c r="D8" s="7">
        <v>100</v>
      </c>
      <c r="E8" s="7">
        <v>449.16</v>
      </c>
      <c r="F8" s="7">
        <v>100</v>
      </c>
      <c r="G8" s="7" t="s">
        <v>29</v>
      </c>
      <c r="H8" s="7" t="s">
        <v>66</v>
      </c>
      <c r="I8" s="7" t="s">
        <v>67</v>
      </c>
      <c r="J8" s="7" t="s">
        <v>40</v>
      </c>
      <c r="K8" s="7" t="s">
        <v>30</v>
      </c>
      <c r="L8" s="7" t="s">
        <v>31</v>
      </c>
      <c r="M8" s="7" t="s">
        <v>32</v>
      </c>
      <c r="N8" s="7" t="s">
        <v>68</v>
      </c>
    </row>
    <row r="9" spans="1:15" x14ac:dyDescent="0.15">
      <c r="A9" s="7" t="s">
        <v>37</v>
      </c>
      <c r="B9" s="7" t="s">
        <v>55</v>
      </c>
      <c r="C9" s="7">
        <v>40.44</v>
      </c>
      <c r="D9" s="7">
        <v>600</v>
      </c>
      <c r="E9" s="7">
        <v>40.44</v>
      </c>
      <c r="F9" s="7">
        <v>600</v>
      </c>
      <c r="G9" s="7" t="s">
        <v>29</v>
      </c>
      <c r="H9" s="7" t="s">
        <v>69</v>
      </c>
      <c r="I9" s="7" t="s">
        <v>70</v>
      </c>
      <c r="J9" s="7" t="s">
        <v>38</v>
      </c>
      <c r="K9" s="7" t="s">
        <v>34</v>
      </c>
      <c r="L9" s="7" t="s">
        <v>31</v>
      </c>
      <c r="M9" s="7" t="s">
        <v>32</v>
      </c>
      <c r="N9" s="7" t="s">
        <v>71</v>
      </c>
    </row>
    <row r="10" spans="1:15" x14ac:dyDescent="0.15">
      <c r="A10" s="7" t="s">
        <v>37</v>
      </c>
      <c r="B10" s="7" t="s">
        <v>55</v>
      </c>
      <c r="C10" s="7">
        <v>40.51</v>
      </c>
      <c r="D10" s="7">
        <v>600</v>
      </c>
      <c r="E10" s="7">
        <v>40.51</v>
      </c>
      <c r="F10" s="7">
        <v>600</v>
      </c>
      <c r="G10" s="7" t="s">
        <v>29</v>
      </c>
      <c r="H10" s="7" t="s">
        <v>72</v>
      </c>
      <c r="I10" s="7" t="s">
        <v>73</v>
      </c>
      <c r="J10" s="7" t="s">
        <v>38</v>
      </c>
      <c r="K10" s="7" t="s">
        <v>34</v>
      </c>
      <c r="L10" s="7" t="s">
        <v>31</v>
      </c>
      <c r="M10" s="7" t="s">
        <v>32</v>
      </c>
      <c r="N10" s="7" t="s">
        <v>74</v>
      </c>
    </row>
    <row r="11" spans="1:15" x14ac:dyDescent="0.15">
      <c r="A11" s="7" t="s">
        <v>43</v>
      </c>
      <c r="B11" s="7" t="s">
        <v>55</v>
      </c>
      <c r="C11" s="7">
        <v>35.979999999999997</v>
      </c>
      <c r="D11" s="7">
        <v>600</v>
      </c>
      <c r="E11" s="7">
        <v>35.979999999999997</v>
      </c>
      <c r="F11" s="7">
        <v>600</v>
      </c>
      <c r="G11" s="7" t="s">
        <v>29</v>
      </c>
      <c r="H11" s="7" t="s">
        <v>75</v>
      </c>
      <c r="I11" s="7" t="s">
        <v>76</v>
      </c>
      <c r="J11" s="7" t="s">
        <v>44</v>
      </c>
      <c r="K11" s="7" t="s">
        <v>34</v>
      </c>
      <c r="L11" s="7" t="s">
        <v>31</v>
      </c>
      <c r="M11" s="7" t="s">
        <v>32</v>
      </c>
      <c r="N11" s="7" t="s">
        <v>77</v>
      </c>
    </row>
    <row r="12" spans="1:15" x14ac:dyDescent="0.15">
      <c r="A12" s="7" t="s">
        <v>37</v>
      </c>
      <c r="B12" s="7" t="s">
        <v>55</v>
      </c>
      <c r="C12" s="7">
        <v>40.549999999999997</v>
      </c>
      <c r="D12" s="7">
        <v>500</v>
      </c>
      <c r="E12" s="7">
        <v>40.549999999999997</v>
      </c>
      <c r="F12" s="7">
        <v>500</v>
      </c>
      <c r="G12" s="7" t="s">
        <v>29</v>
      </c>
      <c r="H12" s="7" t="s">
        <v>78</v>
      </c>
      <c r="I12" s="7" t="s">
        <v>79</v>
      </c>
      <c r="J12" s="7" t="s">
        <v>38</v>
      </c>
      <c r="K12" s="7" t="s">
        <v>34</v>
      </c>
      <c r="L12" s="7" t="s">
        <v>31</v>
      </c>
      <c r="M12" s="7" t="s">
        <v>32</v>
      </c>
      <c r="N12" s="7" t="s">
        <v>80</v>
      </c>
    </row>
    <row r="13" spans="1:15" x14ac:dyDescent="0.15">
      <c r="A13" s="7" t="s">
        <v>43</v>
      </c>
      <c r="B13" s="7" t="s">
        <v>55</v>
      </c>
      <c r="C13" s="7">
        <v>36.15</v>
      </c>
      <c r="D13" s="7">
        <v>600</v>
      </c>
      <c r="E13" s="7">
        <v>36.15</v>
      </c>
      <c r="F13" s="7">
        <v>600</v>
      </c>
      <c r="G13" s="7" t="s">
        <v>29</v>
      </c>
      <c r="H13" s="7" t="s">
        <v>81</v>
      </c>
      <c r="I13" s="7" t="s">
        <v>82</v>
      </c>
      <c r="J13" s="7" t="s">
        <v>44</v>
      </c>
      <c r="K13" s="7" t="s">
        <v>34</v>
      </c>
      <c r="L13" s="7" t="s">
        <v>31</v>
      </c>
      <c r="M13" s="7" t="s">
        <v>32</v>
      </c>
      <c r="N13" s="7" t="s">
        <v>83</v>
      </c>
    </row>
    <row r="14" spans="1:15" x14ac:dyDescent="0.15">
      <c r="A14" s="7" t="s">
        <v>43</v>
      </c>
      <c r="B14" s="7" t="s">
        <v>55</v>
      </c>
      <c r="C14" s="7">
        <v>36.1</v>
      </c>
      <c r="D14" s="7">
        <v>600</v>
      </c>
      <c r="E14" s="7">
        <v>36.1</v>
      </c>
      <c r="F14" s="7">
        <v>600</v>
      </c>
      <c r="G14" s="7" t="s">
        <v>29</v>
      </c>
      <c r="H14" s="7" t="s">
        <v>84</v>
      </c>
      <c r="I14" s="7" t="s">
        <v>85</v>
      </c>
      <c r="J14" s="7" t="s">
        <v>44</v>
      </c>
      <c r="K14" s="7" t="s">
        <v>34</v>
      </c>
      <c r="L14" s="7" t="s">
        <v>31</v>
      </c>
      <c r="M14" s="7" t="s">
        <v>32</v>
      </c>
      <c r="N14" s="7" t="s">
        <v>86</v>
      </c>
      <c r="O14" s="7"/>
    </row>
    <row r="15" spans="1:15" x14ac:dyDescent="0.15">
      <c r="A15" s="7" t="s">
        <v>43</v>
      </c>
      <c r="B15" s="7" t="s">
        <v>55</v>
      </c>
      <c r="C15" s="7">
        <v>36.119999999999997</v>
      </c>
      <c r="D15" s="7">
        <v>600</v>
      </c>
      <c r="E15" s="7">
        <v>36.119999999999997</v>
      </c>
      <c r="F15" s="7">
        <v>600</v>
      </c>
      <c r="G15" s="7" t="s">
        <v>29</v>
      </c>
      <c r="H15" s="7" t="s">
        <v>87</v>
      </c>
      <c r="I15" s="7" t="s">
        <v>88</v>
      </c>
      <c r="J15" s="7" t="s">
        <v>44</v>
      </c>
      <c r="K15" s="7" t="s">
        <v>34</v>
      </c>
      <c r="L15" s="7" t="s">
        <v>31</v>
      </c>
      <c r="M15" s="7" t="s">
        <v>32</v>
      </c>
      <c r="N15" s="7" t="s">
        <v>89</v>
      </c>
    </row>
    <row r="16" spans="1:15" x14ac:dyDescent="0.15">
      <c r="A16" s="7" t="s">
        <v>43</v>
      </c>
      <c r="B16" s="7" t="s">
        <v>55</v>
      </c>
      <c r="C16" s="7">
        <v>36.21</v>
      </c>
      <c r="D16" s="7">
        <v>600</v>
      </c>
      <c r="E16" s="7">
        <v>36.18</v>
      </c>
      <c r="F16" s="7">
        <v>600</v>
      </c>
      <c r="G16" s="7" t="s">
        <v>29</v>
      </c>
      <c r="H16" s="7" t="s">
        <v>90</v>
      </c>
      <c r="I16" s="7" t="s">
        <v>91</v>
      </c>
      <c r="J16" s="7" t="s">
        <v>44</v>
      </c>
      <c r="K16" s="7" t="s">
        <v>34</v>
      </c>
      <c r="L16" s="7" t="s">
        <v>31</v>
      </c>
      <c r="M16" s="7" t="s">
        <v>32</v>
      </c>
      <c r="N16" s="7" t="s">
        <v>92</v>
      </c>
      <c r="O16" s="7"/>
    </row>
    <row r="17" spans="1:14" x14ac:dyDescent="0.15">
      <c r="A17" s="7" t="s">
        <v>37</v>
      </c>
      <c r="B17" s="7" t="s">
        <v>55</v>
      </c>
      <c r="C17" s="7">
        <v>40.700000000000003</v>
      </c>
      <c r="D17" s="7">
        <v>900</v>
      </c>
      <c r="E17" s="7">
        <v>40.700000000000003</v>
      </c>
      <c r="F17" s="7">
        <v>900</v>
      </c>
      <c r="G17" s="7" t="s">
        <v>29</v>
      </c>
      <c r="H17" s="7" t="s">
        <v>93</v>
      </c>
      <c r="I17" s="7" t="s">
        <v>94</v>
      </c>
      <c r="J17" s="7" t="s">
        <v>38</v>
      </c>
      <c r="K17" s="7" t="s">
        <v>34</v>
      </c>
      <c r="L17" s="7" t="s">
        <v>31</v>
      </c>
      <c r="M17" s="7" t="s">
        <v>32</v>
      </c>
      <c r="N17" s="7" t="s">
        <v>95</v>
      </c>
    </row>
    <row r="18" spans="1:14" x14ac:dyDescent="0.15">
      <c r="A18" s="7" t="s">
        <v>37</v>
      </c>
      <c r="B18" s="7" t="s">
        <v>55</v>
      </c>
      <c r="C18" s="7">
        <v>40.700000000000003</v>
      </c>
      <c r="D18" s="7">
        <v>900</v>
      </c>
      <c r="E18" s="7">
        <v>40.700000000000003</v>
      </c>
      <c r="F18" s="7">
        <v>900</v>
      </c>
      <c r="G18" s="7" t="s">
        <v>29</v>
      </c>
      <c r="H18" s="7" t="s">
        <v>96</v>
      </c>
      <c r="I18" s="7" t="s">
        <v>97</v>
      </c>
      <c r="J18" s="7" t="s">
        <v>38</v>
      </c>
      <c r="K18" s="7" t="s">
        <v>34</v>
      </c>
      <c r="L18" s="7" t="s">
        <v>31</v>
      </c>
      <c r="M18" s="7" t="s">
        <v>32</v>
      </c>
      <c r="N18" s="7" t="s">
        <v>98</v>
      </c>
    </row>
    <row r="19" spans="1:14" x14ac:dyDescent="0.15">
      <c r="A19" s="7" t="s">
        <v>37</v>
      </c>
      <c r="B19" s="7" t="s">
        <v>55</v>
      </c>
      <c r="C19" s="7">
        <v>40.69</v>
      </c>
      <c r="D19" s="7">
        <v>400</v>
      </c>
      <c r="E19" s="7">
        <v>40.69</v>
      </c>
      <c r="F19" s="7">
        <v>400</v>
      </c>
      <c r="G19" s="7" t="s">
        <v>29</v>
      </c>
      <c r="H19" s="7" t="s">
        <v>99</v>
      </c>
      <c r="I19" s="7" t="s">
        <v>100</v>
      </c>
      <c r="J19" s="7" t="s">
        <v>38</v>
      </c>
      <c r="K19" s="7" t="s">
        <v>34</v>
      </c>
      <c r="L19" s="7" t="s">
        <v>31</v>
      </c>
      <c r="M19" s="7" t="s">
        <v>32</v>
      </c>
      <c r="N19" s="7" t="s">
        <v>101</v>
      </c>
    </row>
    <row r="20" spans="1:14" x14ac:dyDescent="0.15">
      <c r="A20" s="7" t="s">
        <v>39</v>
      </c>
      <c r="B20" s="7" t="s">
        <v>55</v>
      </c>
      <c r="C20" s="7">
        <v>450.11</v>
      </c>
      <c r="D20" s="7">
        <v>100</v>
      </c>
      <c r="E20" s="7">
        <v>450.11</v>
      </c>
      <c r="F20" s="7">
        <v>100</v>
      </c>
      <c r="G20" s="7" t="s">
        <v>29</v>
      </c>
      <c r="H20" s="7" t="s">
        <v>102</v>
      </c>
      <c r="I20" s="7" t="s">
        <v>103</v>
      </c>
      <c r="J20" s="7" t="s">
        <v>40</v>
      </c>
      <c r="K20" s="7" t="s">
        <v>30</v>
      </c>
      <c r="L20" s="7" t="s">
        <v>31</v>
      </c>
      <c r="M20" s="7" t="s">
        <v>32</v>
      </c>
      <c r="N20" s="7" t="s">
        <v>104</v>
      </c>
    </row>
    <row r="21" spans="1:14" x14ac:dyDescent="0.15">
      <c r="A21" s="7" t="s">
        <v>37</v>
      </c>
      <c r="B21" s="7" t="s">
        <v>55</v>
      </c>
      <c r="C21" s="7">
        <v>40.53</v>
      </c>
      <c r="D21" s="7">
        <v>800</v>
      </c>
      <c r="E21" s="7">
        <v>40.53</v>
      </c>
      <c r="F21" s="7">
        <v>800</v>
      </c>
      <c r="G21" s="7" t="s">
        <v>29</v>
      </c>
      <c r="H21" s="7" t="s">
        <v>105</v>
      </c>
      <c r="I21" s="7" t="s">
        <v>106</v>
      </c>
      <c r="J21" s="7" t="s">
        <v>38</v>
      </c>
      <c r="K21" s="7" t="s">
        <v>34</v>
      </c>
      <c r="L21" s="7" t="s">
        <v>31</v>
      </c>
      <c r="M21" s="7" t="s">
        <v>32</v>
      </c>
      <c r="N21" s="7" t="s">
        <v>107</v>
      </c>
    </row>
    <row r="22" spans="1:14" x14ac:dyDescent="0.15">
      <c r="A22" s="7" t="s">
        <v>39</v>
      </c>
      <c r="B22" s="7" t="s">
        <v>55</v>
      </c>
      <c r="C22" s="7">
        <v>447.3</v>
      </c>
      <c r="D22" s="7">
        <v>100</v>
      </c>
      <c r="E22" s="7">
        <v>447.3</v>
      </c>
      <c r="F22" s="7">
        <v>100</v>
      </c>
      <c r="G22" s="7" t="s">
        <v>29</v>
      </c>
      <c r="H22" s="7" t="s">
        <v>108</v>
      </c>
      <c r="I22" s="7" t="s">
        <v>109</v>
      </c>
      <c r="J22" s="7" t="s">
        <v>40</v>
      </c>
      <c r="K22" s="7" t="s">
        <v>30</v>
      </c>
      <c r="L22" s="7" t="s">
        <v>31</v>
      </c>
      <c r="M22" s="7" t="s">
        <v>32</v>
      </c>
      <c r="N22" s="7" t="s">
        <v>110</v>
      </c>
    </row>
    <row r="23" spans="1:14" x14ac:dyDescent="0.15">
      <c r="A23" s="7" t="s">
        <v>111</v>
      </c>
      <c r="B23" s="7" t="s">
        <v>55</v>
      </c>
      <c r="C23" s="7">
        <v>14.68</v>
      </c>
      <c r="D23" s="7">
        <v>1300</v>
      </c>
      <c r="E23" s="7">
        <v>14.68</v>
      </c>
      <c r="F23" s="7">
        <v>1045</v>
      </c>
      <c r="G23" s="7" t="s">
        <v>112</v>
      </c>
      <c r="H23" s="7" t="s">
        <v>113</v>
      </c>
      <c r="I23" s="7" t="s">
        <v>114</v>
      </c>
      <c r="J23" s="7" t="s">
        <v>115</v>
      </c>
      <c r="K23" s="7" t="s">
        <v>30</v>
      </c>
      <c r="L23" s="7" t="s">
        <v>31</v>
      </c>
      <c r="M23" s="7" t="s">
        <v>32</v>
      </c>
      <c r="N23" s="7" t="s">
        <v>116</v>
      </c>
    </row>
    <row r="24" spans="1:14" x14ac:dyDescent="0.15">
      <c r="A24" t="s">
        <v>41</v>
      </c>
      <c r="B24" t="s">
        <v>55</v>
      </c>
      <c r="C24">
        <v>28.63</v>
      </c>
      <c r="D24">
        <v>600</v>
      </c>
      <c r="E24">
        <v>28.58</v>
      </c>
      <c r="F24">
        <v>600</v>
      </c>
      <c r="G24" t="s">
        <v>29</v>
      </c>
      <c r="H24" t="s">
        <v>117</v>
      </c>
      <c r="I24" t="s">
        <v>118</v>
      </c>
      <c r="J24" t="s">
        <v>42</v>
      </c>
      <c r="K24" t="s">
        <v>34</v>
      </c>
      <c r="L24" t="s">
        <v>31</v>
      </c>
      <c r="M24" t="s">
        <v>32</v>
      </c>
      <c r="N24" t="s">
        <v>119</v>
      </c>
    </row>
    <row r="25" spans="1:14" x14ac:dyDescent="0.15">
      <c r="A25" t="s">
        <v>41</v>
      </c>
      <c r="B25" t="s">
        <v>55</v>
      </c>
      <c r="C25">
        <v>28.8</v>
      </c>
      <c r="D25">
        <v>600</v>
      </c>
      <c r="E25">
        <v>28.8</v>
      </c>
      <c r="F25">
        <v>600</v>
      </c>
      <c r="G25" t="s">
        <v>29</v>
      </c>
      <c r="H25" t="s">
        <v>120</v>
      </c>
      <c r="I25" t="s">
        <v>121</v>
      </c>
      <c r="J25" t="s">
        <v>42</v>
      </c>
      <c r="K25" t="s">
        <v>34</v>
      </c>
      <c r="L25" t="s">
        <v>31</v>
      </c>
      <c r="M25" t="s">
        <v>32</v>
      </c>
      <c r="N25" t="s">
        <v>122</v>
      </c>
    </row>
    <row r="26" spans="1:14" x14ac:dyDescent="0.15">
      <c r="A26" t="s">
        <v>54</v>
      </c>
      <c r="B26" t="s">
        <v>55</v>
      </c>
      <c r="C26">
        <v>14.42</v>
      </c>
      <c r="D26">
        <v>2600</v>
      </c>
      <c r="E26">
        <v>14.42</v>
      </c>
      <c r="F26">
        <v>2600</v>
      </c>
      <c r="G26" t="s">
        <v>29</v>
      </c>
      <c r="H26" t="s">
        <v>123</v>
      </c>
      <c r="I26" t="s">
        <v>124</v>
      </c>
      <c r="J26" t="s">
        <v>58</v>
      </c>
      <c r="K26" t="s">
        <v>30</v>
      </c>
      <c r="L26" t="s">
        <v>31</v>
      </c>
      <c r="M26" t="s">
        <v>32</v>
      </c>
      <c r="N26" t="s">
        <v>125</v>
      </c>
    </row>
    <row r="27" spans="1:14" x14ac:dyDescent="0.15">
      <c r="A27" t="s">
        <v>41</v>
      </c>
      <c r="B27" t="s">
        <v>55</v>
      </c>
      <c r="C27">
        <v>29.19</v>
      </c>
      <c r="D27">
        <v>6000</v>
      </c>
      <c r="E27">
        <v>29.16</v>
      </c>
      <c r="F27">
        <v>6000</v>
      </c>
      <c r="G27" t="s">
        <v>29</v>
      </c>
      <c r="H27" t="s">
        <v>126</v>
      </c>
      <c r="I27" t="s">
        <v>127</v>
      </c>
      <c r="J27" t="s">
        <v>42</v>
      </c>
      <c r="K27" t="s">
        <v>34</v>
      </c>
      <c r="L27" t="s">
        <v>31</v>
      </c>
      <c r="M27" t="s">
        <v>32</v>
      </c>
      <c r="N27" t="s">
        <v>128</v>
      </c>
    </row>
    <row r="28" spans="1:14" x14ac:dyDescent="0.15">
      <c r="A28" t="s">
        <v>41</v>
      </c>
      <c r="B28" t="s">
        <v>55</v>
      </c>
      <c r="C28">
        <v>29.13</v>
      </c>
      <c r="D28">
        <v>1200</v>
      </c>
      <c r="E28">
        <v>29.13</v>
      </c>
      <c r="F28">
        <v>1200</v>
      </c>
      <c r="G28" t="s">
        <v>29</v>
      </c>
      <c r="H28" t="s">
        <v>129</v>
      </c>
      <c r="I28" t="s">
        <v>130</v>
      </c>
      <c r="J28" t="s">
        <v>42</v>
      </c>
      <c r="K28" t="s">
        <v>34</v>
      </c>
      <c r="L28" t="s">
        <v>31</v>
      </c>
      <c r="M28" t="s">
        <v>32</v>
      </c>
      <c r="N28" t="s">
        <v>131</v>
      </c>
    </row>
    <row r="44" spans="15:15" x14ac:dyDescent="0.15">
      <c r="O44" s="7">
        <f>+E44*F44/36</f>
        <v>0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16" sqref="J16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42933</v>
      </c>
      <c r="B2" s="5" t="str">
        <f>'20161118 当日委托查询'!H2</f>
        <v>14:57:56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600104</v>
      </c>
      <c r="I2" s="7" t="str">
        <f>IF('20161118 当日委托查询'!B2="卖出","S","B")</f>
        <v>S</v>
      </c>
      <c r="J2" s="7" t="s">
        <v>28</v>
      </c>
      <c r="K2" s="7">
        <f>IF(I2="S",-1*'20161118 当日委托查询'!F2,'20161118 当日委托查询'!F2)</f>
        <v>-1200</v>
      </c>
      <c r="L2" s="7">
        <v>1</v>
      </c>
      <c r="M2" s="7">
        <f>'20161118 当日委托查询'!E2</f>
        <v>32.090000000000003</v>
      </c>
    </row>
    <row r="3" spans="1:25" x14ac:dyDescent="0.15">
      <c r="A3" s="2">
        <f t="shared" ca="1" si="0"/>
        <v>42933</v>
      </c>
      <c r="B3" s="5" t="str">
        <f>'20161118 当日委托查询'!H3</f>
        <v>14:56:08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000651</v>
      </c>
      <c r="I3" s="7" t="str">
        <f>IF('20161118 当日委托查询'!B3="卖出","S","B")</f>
        <v>S</v>
      </c>
      <c r="J3" s="7" t="s">
        <v>28</v>
      </c>
      <c r="K3" s="7">
        <f>IF(I3="S",-1*'20161118 当日委托查询'!F3,'20161118 当日委托查询'!F3)</f>
        <v>-2000</v>
      </c>
      <c r="L3" s="7">
        <v>1</v>
      </c>
      <c r="M3" s="7">
        <f>'20161118 当日委托查询'!E3</f>
        <v>41.08</v>
      </c>
    </row>
    <row r="4" spans="1:25" x14ac:dyDescent="0.15">
      <c r="A4" s="2">
        <f t="shared" ca="1" si="0"/>
        <v>42933</v>
      </c>
      <c r="B4" s="5" t="str">
        <f>'20161118 当日委托查询'!H4</f>
        <v>14:55:55</v>
      </c>
      <c r="C4" s="7" t="s">
        <v>25</v>
      </c>
      <c r="D4" s="7" t="s">
        <v>26</v>
      </c>
      <c r="E4" s="7" t="s">
        <v>27</v>
      </c>
      <c r="F4" s="7"/>
      <c r="G4" s="7"/>
      <c r="H4" s="7" t="str">
        <f>'20161118 当日委托查询'!J4</f>
        <v>002415</v>
      </c>
      <c r="I4" s="7" t="str">
        <f>IF('20161118 当日委托查询'!B4="卖出","S","B")</f>
        <v>S</v>
      </c>
      <c r="J4" s="7" t="s">
        <v>28</v>
      </c>
      <c r="K4" s="7">
        <f>IF(I4="S",-1*'20161118 当日委托查询'!F4,'20161118 当日委托查询'!F4)</f>
        <v>-2000</v>
      </c>
      <c r="L4" s="7">
        <v>1</v>
      </c>
      <c r="M4" s="7">
        <f>'20161118 当日委托查询'!E4</f>
        <v>29.7</v>
      </c>
    </row>
    <row r="5" spans="1:25" x14ac:dyDescent="0.15">
      <c r="A5" s="2">
        <f t="shared" ca="1" si="0"/>
        <v>42933</v>
      </c>
      <c r="B5" s="5" t="str">
        <f>'20161118 当日委托查询'!H5</f>
        <v>14:34:57</v>
      </c>
      <c r="C5" s="7" t="s">
        <v>25</v>
      </c>
      <c r="D5" s="7" t="s">
        <v>26</v>
      </c>
      <c r="E5" s="7" t="s">
        <v>27</v>
      </c>
      <c r="F5" s="7"/>
      <c r="G5" s="7"/>
      <c r="H5" s="7" t="str">
        <f>'20161118 当日委托查询'!J5</f>
        <v>600958</v>
      </c>
      <c r="I5" s="7" t="str">
        <f>IF('20161118 当日委托查询'!B5="卖出","S","B")</f>
        <v>B</v>
      </c>
      <c r="J5" s="7" t="s">
        <v>28</v>
      </c>
      <c r="K5" s="7">
        <f>IF(I5="S",-1*'20161118 当日委托查询'!F5,'20161118 当日委托查询'!F5)</f>
        <v>1400</v>
      </c>
      <c r="L5" s="7">
        <v>1</v>
      </c>
      <c r="M5" s="7">
        <f>'20161118 当日委托查询'!E5</f>
        <v>14.23</v>
      </c>
    </row>
    <row r="6" spans="1:25" x14ac:dyDescent="0.15">
      <c r="A6" s="2">
        <f t="shared" ca="1" si="0"/>
        <v>42933</v>
      </c>
      <c r="B6" s="5" t="str">
        <f>'20161118 当日委托查询'!H6</f>
        <v>14:27:07</v>
      </c>
      <c r="C6" s="7" t="s">
        <v>25</v>
      </c>
      <c r="D6" s="7" t="s">
        <v>26</v>
      </c>
      <c r="E6" s="7" t="s">
        <v>27</v>
      </c>
      <c r="F6" s="7"/>
      <c r="G6" s="7"/>
      <c r="H6" s="7" t="str">
        <f>'20161118 当日委托查询'!J6</f>
        <v>002008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1100</v>
      </c>
      <c r="L6" s="7">
        <v>1</v>
      </c>
      <c r="M6" s="7">
        <f>'20161118 当日委托查询'!E6</f>
        <v>35.89</v>
      </c>
    </row>
    <row r="7" spans="1:25" x14ac:dyDescent="0.15">
      <c r="A7" s="2">
        <f t="shared" ca="1" si="0"/>
        <v>42933</v>
      </c>
      <c r="B7" s="5" t="str">
        <f>'20161118 当日委托查询'!H7</f>
        <v>14:26:34</v>
      </c>
      <c r="C7" s="7" t="s">
        <v>25</v>
      </c>
      <c r="D7" s="7" t="s">
        <v>26</v>
      </c>
      <c r="E7" s="7" t="s">
        <v>27</v>
      </c>
      <c r="F7" s="7"/>
      <c r="G7" s="7"/>
      <c r="H7" s="7" t="str">
        <f>'20161118 当日委托查询'!J7</f>
        <v>600958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2700</v>
      </c>
      <c r="L7" s="7">
        <v>1</v>
      </c>
      <c r="M7" s="7">
        <f>'20161118 当日委托查询'!E7</f>
        <v>14.3</v>
      </c>
    </row>
    <row r="8" spans="1:25" x14ac:dyDescent="0.15">
      <c r="A8" s="2">
        <f t="shared" ca="1" si="0"/>
        <v>42933</v>
      </c>
      <c r="B8" s="5" t="str">
        <f>'20161118 当日委托查询'!H8</f>
        <v>14:18:31</v>
      </c>
      <c r="C8" s="7" t="s">
        <v>25</v>
      </c>
      <c r="D8" s="7" t="s">
        <v>26</v>
      </c>
      <c r="E8" s="7" t="s">
        <v>27</v>
      </c>
      <c r="F8" s="7"/>
      <c r="G8" s="7"/>
      <c r="H8" s="7" t="str">
        <f>'20161118 当日委托查询'!J8</f>
        <v>600519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100</v>
      </c>
      <c r="L8" s="7">
        <v>1</v>
      </c>
      <c r="M8" s="7">
        <f>'20161118 当日委托查询'!E8</f>
        <v>449.16</v>
      </c>
    </row>
    <row r="9" spans="1:25" x14ac:dyDescent="0.15">
      <c r="A9" s="2">
        <f t="shared" ca="1" si="0"/>
        <v>42933</v>
      </c>
      <c r="B9" s="5" t="str">
        <f>'20161118 当日委托查询'!H9</f>
        <v>14:18:01</v>
      </c>
      <c r="C9" s="7" t="s">
        <v>25</v>
      </c>
      <c r="D9" s="7" t="s">
        <v>26</v>
      </c>
      <c r="E9" s="7" t="s">
        <v>27</v>
      </c>
      <c r="F9" s="7"/>
      <c r="G9" s="7"/>
      <c r="H9" s="7" t="str">
        <f>'20161118 当日委托查询'!J9</f>
        <v>000651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600</v>
      </c>
      <c r="L9" s="7">
        <v>1</v>
      </c>
      <c r="M9" s="7">
        <f>'20161118 当日委托查询'!E9</f>
        <v>40.44</v>
      </c>
    </row>
    <row r="10" spans="1:25" x14ac:dyDescent="0.15">
      <c r="A10" s="2">
        <f t="shared" ca="1" si="0"/>
        <v>42933</v>
      </c>
      <c r="B10" s="5" t="str">
        <f>'20161118 当日委托查询'!H10</f>
        <v>14:16:13</v>
      </c>
      <c r="C10" s="7" t="s">
        <v>25</v>
      </c>
      <c r="D10" s="7" t="s">
        <v>26</v>
      </c>
      <c r="E10" s="7" t="s">
        <v>27</v>
      </c>
      <c r="F10" s="7"/>
      <c r="G10" s="7"/>
      <c r="H10" s="7" t="str">
        <f>'20161118 当日委托查询'!J10</f>
        <v>000651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600</v>
      </c>
      <c r="L10" s="7">
        <v>1</v>
      </c>
      <c r="M10" s="7">
        <f>'20161118 当日委托查询'!E10</f>
        <v>40.51</v>
      </c>
    </row>
    <row r="11" spans="1:25" x14ac:dyDescent="0.15">
      <c r="A11" s="2">
        <f t="shared" ca="1" si="0"/>
        <v>42933</v>
      </c>
      <c r="B11" s="5" t="str">
        <f>'20161118 当日委托查询'!H11</f>
        <v>14:14:54</v>
      </c>
      <c r="C11" s="7" t="s">
        <v>25</v>
      </c>
      <c r="D11" s="7" t="s">
        <v>26</v>
      </c>
      <c r="E11" s="7" t="s">
        <v>27</v>
      </c>
      <c r="F11" s="7"/>
      <c r="G11" s="7"/>
      <c r="H11" s="7" t="str">
        <f>'20161118 当日委托查询'!J11</f>
        <v>002008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600</v>
      </c>
      <c r="L11" s="7">
        <v>1</v>
      </c>
      <c r="M11" s="7">
        <f>'20161118 当日委托查询'!E11</f>
        <v>35.979999999999997</v>
      </c>
    </row>
    <row r="12" spans="1:25" x14ac:dyDescent="0.15">
      <c r="A12" s="2">
        <f t="shared" ca="1" si="0"/>
        <v>42933</v>
      </c>
      <c r="B12" s="5" t="str">
        <f>'20161118 当日委托查询'!H12</f>
        <v>14:13:35</v>
      </c>
      <c r="C12" s="7" t="s">
        <v>25</v>
      </c>
      <c r="D12" s="7" t="s">
        <v>26</v>
      </c>
      <c r="E12" s="7" t="s">
        <v>27</v>
      </c>
      <c r="F12" s="7"/>
      <c r="G12" s="7"/>
      <c r="H12" s="7" t="str">
        <f>'20161118 当日委托查询'!J12</f>
        <v>000651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500</v>
      </c>
      <c r="L12" s="7">
        <v>1</v>
      </c>
      <c r="M12" s="7">
        <f>'20161118 当日委托查询'!E12</f>
        <v>40.549999999999997</v>
      </c>
    </row>
    <row r="13" spans="1:25" x14ac:dyDescent="0.15">
      <c r="A13" s="2">
        <f t="shared" ca="1" si="0"/>
        <v>42933</v>
      </c>
      <c r="B13" s="5" t="str">
        <f>'20161118 当日委托查询'!H13</f>
        <v>14:09:34</v>
      </c>
      <c r="C13" s="7" t="s">
        <v>25</v>
      </c>
      <c r="D13" s="7" t="s">
        <v>26</v>
      </c>
      <c r="E13" s="7" t="s">
        <v>27</v>
      </c>
      <c r="F13" s="7"/>
      <c r="G13" s="7"/>
      <c r="H13" s="7" t="str">
        <f>'20161118 当日委托查询'!J13</f>
        <v>002008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600</v>
      </c>
      <c r="L13" s="7">
        <v>1</v>
      </c>
      <c r="M13" s="7">
        <f>'20161118 当日委托查询'!E13</f>
        <v>36.15</v>
      </c>
    </row>
    <row r="14" spans="1:25" x14ac:dyDescent="0.15">
      <c r="A14" s="2">
        <f t="shared" ca="1" si="0"/>
        <v>42933</v>
      </c>
      <c r="B14" s="5" t="str">
        <f>'20161118 当日委托查询'!H14</f>
        <v>14:03:49</v>
      </c>
      <c r="C14" s="7" t="s">
        <v>25</v>
      </c>
      <c r="D14" s="7" t="s">
        <v>26</v>
      </c>
      <c r="E14" s="7" t="s">
        <v>27</v>
      </c>
      <c r="F14" s="7"/>
      <c r="G14" s="7"/>
      <c r="H14" s="7" t="str">
        <f>'20161118 当日委托查询'!J14</f>
        <v>002008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600</v>
      </c>
      <c r="L14" s="7">
        <v>1</v>
      </c>
      <c r="M14" s="7">
        <f>'20161118 当日委托查询'!E14</f>
        <v>36.1</v>
      </c>
    </row>
    <row r="15" spans="1:25" x14ac:dyDescent="0.15">
      <c r="A15" s="2">
        <f t="shared" ca="1" si="0"/>
        <v>42933</v>
      </c>
      <c r="B15" s="5" t="str">
        <f>'20161118 当日委托查询'!H15</f>
        <v>14:01:29</v>
      </c>
      <c r="C15" s="7" t="s">
        <v>25</v>
      </c>
      <c r="D15" s="7" t="s">
        <v>26</v>
      </c>
      <c r="E15" s="7" t="s">
        <v>27</v>
      </c>
      <c r="F15" s="7"/>
      <c r="G15" s="7"/>
      <c r="H15" s="7" t="str">
        <f>'20161118 当日委托查询'!J15</f>
        <v>002008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600</v>
      </c>
      <c r="L15" s="7">
        <v>1</v>
      </c>
      <c r="M15" s="7">
        <f>'20161118 当日委托查询'!E15</f>
        <v>36.119999999999997</v>
      </c>
    </row>
    <row r="16" spans="1:25" x14ac:dyDescent="0.15">
      <c r="A16" s="2">
        <f t="shared" ca="1" si="0"/>
        <v>42933</v>
      </c>
      <c r="B16" s="5" t="str">
        <f>'20161118 当日委托查询'!H16</f>
        <v>14:01:01</v>
      </c>
      <c r="C16" s="7" t="s">
        <v>25</v>
      </c>
      <c r="D16" s="7" t="s">
        <v>26</v>
      </c>
      <c r="E16" s="7" t="s">
        <v>27</v>
      </c>
      <c r="F16" s="7"/>
      <c r="G16" s="7"/>
      <c r="H16" s="7" t="str">
        <f>'20161118 当日委托查询'!J16</f>
        <v>002008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600</v>
      </c>
      <c r="L16" s="7">
        <v>1</v>
      </c>
      <c r="M16" s="7">
        <f>'20161118 当日委托查询'!E16</f>
        <v>36.18</v>
      </c>
    </row>
    <row r="17" spans="1:13" x14ac:dyDescent="0.15">
      <c r="A17" s="2">
        <f t="shared" ca="1" si="0"/>
        <v>42933</v>
      </c>
      <c r="B17" s="5" t="str">
        <f>'20161118 当日委托查询'!H17</f>
        <v>13:42:38</v>
      </c>
      <c r="C17" s="7" t="s">
        <v>25</v>
      </c>
      <c r="D17" s="7" t="s">
        <v>26</v>
      </c>
      <c r="E17" s="7" t="s">
        <v>27</v>
      </c>
      <c r="F17" s="7"/>
      <c r="G17" s="7"/>
      <c r="H17" s="7" t="str">
        <f>'20161118 当日委托查询'!J17</f>
        <v>000651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900</v>
      </c>
      <c r="L17" s="7">
        <v>1</v>
      </c>
      <c r="M17" s="7">
        <f>'20161118 当日委托查询'!E17</f>
        <v>40.700000000000003</v>
      </c>
    </row>
    <row r="18" spans="1:13" x14ac:dyDescent="0.15">
      <c r="A18" s="2">
        <f t="shared" ca="1" si="0"/>
        <v>42933</v>
      </c>
      <c r="B18" s="5" t="str">
        <f>'20161118 当日委托查询'!H18</f>
        <v>13:12:19</v>
      </c>
      <c r="C18" s="7" t="s">
        <v>25</v>
      </c>
      <c r="D18" s="7" t="s">
        <v>26</v>
      </c>
      <c r="E18" s="7" t="s">
        <v>27</v>
      </c>
      <c r="F18" s="7"/>
      <c r="G18" s="7"/>
      <c r="H18" s="7" t="str">
        <f>'20161118 当日委托查询'!J18</f>
        <v>000651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900</v>
      </c>
      <c r="L18" s="7">
        <v>1</v>
      </c>
      <c r="M18" s="7">
        <f>'20161118 当日委托查询'!E18</f>
        <v>40.700000000000003</v>
      </c>
    </row>
    <row r="19" spans="1:13" x14ac:dyDescent="0.15">
      <c r="A19" s="2">
        <f t="shared" ca="1" si="0"/>
        <v>42933</v>
      </c>
      <c r="B19" s="5" t="str">
        <f>'20161118 当日委托查询'!H19</f>
        <v>13:11:28</v>
      </c>
      <c r="C19" s="7" t="s">
        <v>25</v>
      </c>
      <c r="D19" s="7" t="s">
        <v>26</v>
      </c>
      <c r="E19" s="7" t="s">
        <v>27</v>
      </c>
      <c r="F19" s="7"/>
      <c r="G19" s="7"/>
      <c r="H19" s="7" t="str">
        <f>'20161118 当日委托查询'!J19</f>
        <v>000651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400</v>
      </c>
      <c r="L19" s="7">
        <v>1</v>
      </c>
      <c r="M19" s="7">
        <f>'20161118 当日委托查询'!E19</f>
        <v>40.69</v>
      </c>
    </row>
    <row r="20" spans="1:13" x14ac:dyDescent="0.15">
      <c r="A20" s="2">
        <f t="shared" ca="1" si="0"/>
        <v>42933</v>
      </c>
      <c r="B20" s="5" t="str">
        <f>'20161118 当日委托查询'!H20</f>
        <v>13:10:45</v>
      </c>
      <c r="C20" s="7" t="s">
        <v>25</v>
      </c>
      <c r="D20" s="7" t="s">
        <v>26</v>
      </c>
      <c r="E20" s="7" t="s">
        <v>27</v>
      </c>
      <c r="F20" s="7"/>
      <c r="G20" s="7"/>
      <c r="H20" s="7" t="str">
        <f>'20161118 当日委托查询'!J20</f>
        <v>600519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100</v>
      </c>
      <c r="L20" s="7">
        <v>1</v>
      </c>
      <c r="M20" s="7">
        <f>'20161118 当日委托查询'!E20</f>
        <v>450.11</v>
      </c>
    </row>
    <row r="21" spans="1:13" x14ac:dyDescent="0.15">
      <c r="A21" s="2">
        <f t="shared" ca="1" si="0"/>
        <v>42933</v>
      </c>
      <c r="B21" s="5" t="str">
        <f>'20161118 当日委托查询'!H21</f>
        <v>09:46:36</v>
      </c>
      <c r="C21" s="7" t="s">
        <v>25</v>
      </c>
      <c r="D21" s="7" t="s">
        <v>26</v>
      </c>
      <c r="E21" s="7" t="s">
        <v>27</v>
      </c>
      <c r="F21" s="7"/>
      <c r="G21" s="7"/>
      <c r="H21" s="7" t="str">
        <f>'20161118 当日委托查询'!J21</f>
        <v>000651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800</v>
      </c>
      <c r="L21" s="7">
        <v>1</v>
      </c>
      <c r="M21" s="7">
        <f>'20161118 当日委托查询'!E21</f>
        <v>40.53</v>
      </c>
    </row>
    <row r="22" spans="1:13" x14ac:dyDescent="0.15">
      <c r="A22" s="2">
        <f t="shared" ca="1" si="0"/>
        <v>42933</v>
      </c>
      <c r="B22" s="5" t="str">
        <f>'20161118 当日委托查询'!H22</f>
        <v>09:46:23</v>
      </c>
      <c r="C22" s="7" t="s">
        <v>25</v>
      </c>
      <c r="D22" s="7" t="s">
        <v>26</v>
      </c>
      <c r="E22" s="7" t="s">
        <v>27</v>
      </c>
      <c r="F22" s="7"/>
      <c r="G22" s="7"/>
      <c r="H22" s="7" t="str">
        <f>'20161118 当日委托查询'!J22</f>
        <v>600519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100</v>
      </c>
      <c r="L22" s="7">
        <v>1</v>
      </c>
      <c r="M22" s="7">
        <f>'20161118 当日委托查询'!E22</f>
        <v>447.3</v>
      </c>
    </row>
    <row r="23" spans="1:13" x14ac:dyDescent="0.15">
      <c r="A23" s="2">
        <f t="shared" ca="1" si="0"/>
        <v>42933</v>
      </c>
      <c r="B23" s="5" t="str">
        <f>'20161118 当日委托查询'!H23</f>
        <v>09:46:13</v>
      </c>
      <c r="C23" s="7" t="s">
        <v>25</v>
      </c>
      <c r="D23" s="7" t="s">
        <v>26</v>
      </c>
      <c r="E23" s="7" t="s">
        <v>27</v>
      </c>
      <c r="F23" s="7"/>
      <c r="G23" s="7"/>
      <c r="H23" s="7" t="str">
        <f>'20161118 当日委托查询'!J23</f>
        <v>600900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1045</v>
      </c>
      <c r="L23" s="7">
        <v>1</v>
      </c>
      <c r="M23" s="7">
        <f>'20161118 当日委托查询'!E23</f>
        <v>14.68</v>
      </c>
    </row>
    <row r="24" spans="1:13" x14ac:dyDescent="0.15">
      <c r="A24" s="2">
        <f t="shared" ca="1" si="0"/>
        <v>42933</v>
      </c>
      <c r="B24" s="5" t="str">
        <f>'20161118 当日委托查询'!H24</f>
        <v>09:46:02</v>
      </c>
      <c r="C24" s="7" t="s">
        <v>25</v>
      </c>
      <c r="D24" s="7" t="s">
        <v>26</v>
      </c>
      <c r="E24" s="7" t="s">
        <v>27</v>
      </c>
      <c r="F24" s="7"/>
      <c r="G24" s="7"/>
      <c r="H24" s="7" t="str">
        <f>'20161118 当日委托查询'!J24</f>
        <v>002415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600</v>
      </c>
      <c r="L24" s="7">
        <v>1</v>
      </c>
      <c r="M24" s="7">
        <f>'20161118 当日委托查询'!E24</f>
        <v>28.58</v>
      </c>
    </row>
    <row r="25" spans="1:13" x14ac:dyDescent="0.15">
      <c r="A25" s="2">
        <f t="shared" ca="1" si="0"/>
        <v>42933</v>
      </c>
      <c r="B25" s="5" t="str">
        <f>'20161118 当日委托查询'!H25</f>
        <v>09:45:26</v>
      </c>
      <c r="C25" s="7" t="s">
        <v>25</v>
      </c>
      <c r="D25" s="7" t="s">
        <v>26</v>
      </c>
      <c r="E25" s="7" t="s">
        <v>27</v>
      </c>
      <c r="F25" s="7"/>
      <c r="G25" s="7"/>
      <c r="H25" s="7" t="str">
        <f>'20161118 当日委托查询'!J25</f>
        <v>002415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600</v>
      </c>
      <c r="L25" s="7">
        <v>1</v>
      </c>
      <c r="M25" s="7">
        <f>'20161118 当日委托查询'!E25</f>
        <v>28.8</v>
      </c>
    </row>
    <row r="26" spans="1:13" x14ac:dyDescent="0.15">
      <c r="A26" s="2">
        <f t="shared" ca="1" si="0"/>
        <v>42933</v>
      </c>
      <c r="B26" s="5" t="str">
        <f>'20161118 当日委托查询'!H26</f>
        <v>09:44:31</v>
      </c>
      <c r="C26" s="7" t="s">
        <v>25</v>
      </c>
      <c r="D26" s="7" t="s">
        <v>26</v>
      </c>
      <c r="E26" s="7" t="s">
        <v>27</v>
      </c>
      <c r="F26" s="7"/>
      <c r="G26" s="7"/>
      <c r="H26" s="7" t="str">
        <f>'20161118 当日委托查询'!J26</f>
        <v>600958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2600</v>
      </c>
      <c r="L26" s="7">
        <v>1</v>
      </c>
      <c r="M26" s="7">
        <f>'20161118 当日委托查询'!E26</f>
        <v>14.42</v>
      </c>
    </row>
    <row r="27" spans="1:13" x14ac:dyDescent="0.15">
      <c r="A27" s="2">
        <f t="shared" ca="1" si="0"/>
        <v>42933</v>
      </c>
      <c r="B27" s="5" t="str">
        <f>'20161118 当日委托查询'!H27</f>
        <v>09:43:02</v>
      </c>
      <c r="C27" s="7" t="s">
        <v>25</v>
      </c>
      <c r="D27" s="7" t="s">
        <v>26</v>
      </c>
      <c r="E27" s="7" t="s">
        <v>27</v>
      </c>
      <c r="F27" s="7"/>
      <c r="G27" s="7"/>
      <c r="H27" s="7" t="str">
        <f>'20161118 当日委托查询'!J27</f>
        <v>002415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6000</v>
      </c>
      <c r="L27" s="7">
        <v>1</v>
      </c>
      <c r="M27" s="7">
        <f>'20161118 当日委托查询'!E27</f>
        <v>29.16</v>
      </c>
    </row>
    <row r="28" spans="1:13" x14ac:dyDescent="0.15">
      <c r="A28" s="2">
        <f t="shared" ca="1" si="0"/>
        <v>42933</v>
      </c>
      <c r="B28" s="5" t="str">
        <f>'20161118 当日委托查询'!H28</f>
        <v>09:42:23</v>
      </c>
      <c r="C28" s="7" t="s">
        <v>25</v>
      </c>
      <c r="D28" s="7" t="s">
        <v>26</v>
      </c>
      <c r="E28" s="7" t="s">
        <v>27</v>
      </c>
      <c r="F28" s="7"/>
      <c r="G28" s="7"/>
      <c r="H28" s="7" t="str">
        <f>'20161118 当日委托查询'!J28</f>
        <v>002415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1200</v>
      </c>
      <c r="L28" s="7">
        <v>1</v>
      </c>
      <c r="M28" s="7">
        <f>'20161118 当日委托查询'!E28</f>
        <v>29.13</v>
      </c>
    </row>
    <row r="29" spans="1:13" x14ac:dyDescent="0.15">
      <c r="A29" s="2">
        <f t="shared" ca="1" si="0"/>
        <v>42933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42933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42933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42933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42933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42933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42933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42933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42933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42933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42933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42933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42933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42933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42933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42933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42933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42933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42933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42933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42933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42933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42933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42933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42933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42933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42933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42933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42933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42933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42933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42933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42933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42933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42933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42933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42933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42933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42933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42933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42933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42933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42933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42933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42933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42933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42933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42933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42933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9" sqref="A9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2017-07-17T07:46:44Z</dcterms:modified>
</cp:coreProperties>
</file>