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<sst xmlns="http://schemas.openxmlformats.org/spreadsheetml/2006/main" count="579" uniqueCount="139">
  <si>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</si>
  <si>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</si>
  <si>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</si>
  <si>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</si>
  <si>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</si>
  <si>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</si>
  <si>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</si>
  <si>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</si>
  <si>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</si>
  <si>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</si>
  <si>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</si>
  <si>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</si>
  <si>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</si>
  <si>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</si>
  <si>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</si>
  <si>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</si>
  <si>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</si>
  <si>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</si>
  <si>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</si>
  <si>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</si>
  <si>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</si>
  <si>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</si>
  <si>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</si>
  <si>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</si>
  <si>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</si>
  <si>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</si>
  <si>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</si>
  <si>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</si>
  <si>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</si>
  <si>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</si>
  <si>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</si>
  <si>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</si>
  <si>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</si>
  <si>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</si>
  <si>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</si>
  <si>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福耀玻璃</t>
  </si>
  <si>
    <t>买入</t>
  </si>
  <si>
    <t>600660</t>
  </si>
  <si>
    <t>海康威视</t>
  </si>
  <si>
    <t>002415</t>
  </si>
  <si>
    <t>招商银行</t>
  </si>
  <si>
    <t>600036</t>
  </si>
  <si>
    <t>小天鹅Ａ</t>
  </si>
  <si>
    <t>000418</t>
  </si>
  <si>
    <t>长江电力</t>
  </si>
  <si>
    <t>600900</t>
  </si>
  <si>
    <t>创业环保</t>
  </si>
  <si>
    <t>600874</t>
  </si>
  <si>
    <t>凯乐科技</t>
  </si>
  <si>
    <t>600260</t>
  </si>
  <si>
    <t>三花智控</t>
  </si>
  <si>
    <t>002050</t>
  </si>
  <si>
    <t>14:59:48</t>
  </si>
  <si>
    <t>641</t>
  </si>
  <si>
    <t>0000543</t>
  </si>
  <si>
    <t>中国人寿</t>
  </si>
  <si>
    <t>14:59:28</t>
  </si>
  <si>
    <t>638</t>
  </si>
  <si>
    <t>601628</t>
  </si>
  <si>
    <t>0008348</t>
  </si>
  <si>
    <t>14:59:03</t>
  </si>
  <si>
    <t>635</t>
  </si>
  <si>
    <t>0008337</t>
  </si>
  <si>
    <t>14:57:16</t>
  </si>
  <si>
    <t>632</t>
  </si>
  <si>
    <t>0008273</t>
  </si>
  <si>
    <t>广汽集团</t>
  </si>
  <si>
    <t>14:56:40</t>
  </si>
  <si>
    <t>629</t>
  </si>
  <si>
    <t>601238</t>
  </si>
  <si>
    <t>0008247</t>
  </si>
  <si>
    <t>格力电器</t>
  </si>
  <si>
    <t>14:54:14</t>
  </si>
  <si>
    <t>617</t>
  </si>
  <si>
    <t>000651</t>
  </si>
  <si>
    <t>00004XZ</t>
  </si>
  <si>
    <t>14:53:51</t>
  </si>
  <si>
    <t>615</t>
  </si>
  <si>
    <t>0008148</t>
  </si>
  <si>
    <t>14:53:03</t>
  </si>
  <si>
    <t>608</t>
  </si>
  <si>
    <t>0008124</t>
  </si>
  <si>
    <t>14:52:52</t>
  </si>
  <si>
    <t>606</t>
  </si>
  <si>
    <t>00004W8</t>
  </si>
  <si>
    <t>14:52:32</t>
  </si>
  <si>
    <t>604</t>
  </si>
  <si>
    <t>0008105</t>
  </si>
  <si>
    <t>XD贵州茅</t>
  </si>
  <si>
    <t>14:52:18</t>
  </si>
  <si>
    <t>601</t>
  </si>
  <si>
    <t>600519</t>
  </si>
  <si>
    <t>0008099</t>
  </si>
  <si>
    <t>14:52:09</t>
  </si>
  <si>
    <t>594</t>
  </si>
  <si>
    <t>00004VE</t>
  </si>
  <si>
    <t>大族激光</t>
  </si>
  <si>
    <t>14:51:59</t>
  </si>
  <si>
    <t>591</t>
  </si>
  <si>
    <t>002008</t>
  </si>
  <si>
    <t>00004V5</t>
  </si>
  <si>
    <t>14:51:45</t>
  </si>
  <si>
    <t>588</t>
  </si>
  <si>
    <t>0008086</t>
  </si>
  <si>
    <t>14:51:33</t>
  </si>
  <si>
    <t>581</t>
  </si>
  <si>
    <t>0008080</t>
  </si>
  <si>
    <t>14:46:18</t>
  </si>
  <si>
    <t>573</t>
  </si>
  <si>
    <t>00004P8</t>
  </si>
  <si>
    <t>14:23:17</t>
  </si>
  <si>
    <t>569</t>
  </si>
  <si>
    <t>000045A</t>
  </si>
  <si>
    <t>13:14:11</t>
  </si>
  <si>
    <t>563</t>
  </si>
  <si>
    <t>0005645</t>
  </si>
  <si>
    <t>赣锋锂业</t>
  </si>
  <si>
    <t>10:31:07</t>
  </si>
  <si>
    <t>559</t>
  </si>
  <si>
    <t>002460</t>
  </si>
  <si>
    <t>0000223</t>
  </si>
  <si>
    <t>10:19:47</t>
  </si>
  <si>
    <t>554</t>
  </si>
  <si>
    <t>0003213</t>
  </si>
  <si>
    <t>10:05:16</t>
  </si>
  <si>
    <t>551</t>
  </si>
  <si>
    <t>0002619</t>
  </si>
  <si>
    <t>09:59:42</t>
  </si>
  <si>
    <t>548</t>
  </si>
  <si>
    <t>0002356</t>
  </si>
  <si>
    <t>09:58:41</t>
  </si>
  <si>
    <t>546</t>
  </si>
  <si>
    <t>00001CX</t>
  </si>
  <si>
    <t>09:57:12</t>
  </si>
  <si>
    <t>543</t>
  </si>
  <si>
    <t>0002221</t>
  </si>
  <si>
    <t>09:45:34</t>
  </si>
  <si>
    <t>539</t>
  </si>
  <si>
    <t>0001561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</si>
</sst>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zoomScale="130" zoomScaleNormal="130" workbookViewId="0">
      <pane ySplit="1" topLeftCell="A2" activePane="bottomLeft" state="frozen"/>
      <selection pane="bottomLeft" activeCell="A2" sqref="A2:N26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50</v>
      </c>
      <c r="B2" s="7" t="s">
        <v>33</v>
      </c>
      <c r="C2" s="7">
        <v>16.89</v>
      </c>
      <c r="D2" s="7">
        <v>1100</v>
      </c>
      <c r="E2" s="7">
        <v>16.89</v>
      </c>
      <c r="F2" s="7">
        <v>1100</v>
      </c>
      <c r="G2" s="7" t="s">
        <v>29</v>
      </c>
      <c r="H2" s="7" t="s">
        <v>52</v>
      </c>
      <c r="I2" s="7" t="s">
        <v>53</v>
      </c>
      <c r="J2" s="7" t="s">
        <v>51</v>
      </c>
      <c r="K2" s="7" t="s">
        <v>34</v>
      </c>
      <c r="L2" s="7" t="s">
        <v>31</v>
      </c>
      <c r="M2" s="7" t="s">
        <v>32</v>
      </c>
      <c r="N2" s="7" t="s">
        <v>54</v>
      </c>
      <c r="O2" s="4"/>
    </row>
    <row r="3" spans="1:15" x14ac:dyDescent="0.15">
      <c r="A3" s="7" t="s">
        <v>55</v>
      </c>
      <c r="B3" s="7" t="s">
        <v>33</v>
      </c>
      <c r="C3" s="7">
        <v>27.45</v>
      </c>
      <c r="D3" s="7">
        <v>2000</v>
      </c>
      <c r="E3" s="7">
        <v>27.45</v>
      </c>
      <c r="F3" s="7">
        <v>2000</v>
      </c>
      <c r="G3" s="7" t="s">
        <v>29</v>
      </c>
      <c r="H3" s="7" t="s">
        <v>56</v>
      </c>
      <c r="I3" s="7" t="s">
        <v>57</v>
      </c>
      <c r="J3" s="7" t="s">
        <v>58</v>
      </c>
      <c r="K3" s="7" t="s">
        <v>30</v>
      </c>
      <c r="L3" s="7" t="s">
        <v>31</v>
      </c>
      <c r="M3" s="7" t="s">
        <v>32</v>
      </c>
      <c r="N3" s="7" t="s">
        <v>59</v>
      </c>
      <c r="O3" s="4"/>
    </row>
    <row r="4" spans="1:15" x14ac:dyDescent="0.15">
      <c r="A4" s="7" t="s">
        <v>46</v>
      </c>
      <c r="B4" s="7" t="s">
        <v>33</v>
      </c>
      <c r="C4" s="7">
        <v>19.98</v>
      </c>
      <c r="D4" s="7">
        <v>1400</v>
      </c>
      <c r="E4" s="7">
        <v>19.98</v>
      </c>
      <c r="F4" s="7">
        <v>1400</v>
      </c>
      <c r="G4" s="7" t="s">
        <v>29</v>
      </c>
      <c r="H4" s="7" t="s">
        <v>60</v>
      </c>
      <c r="I4" s="7" t="s">
        <v>61</v>
      </c>
      <c r="J4" s="7" t="s">
        <v>47</v>
      </c>
      <c r="K4" s="7" t="s">
        <v>30</v>
      </c>
      <c r="L4" s="7" t="s">
        <v>31</v>
      </c>
      <c r="M4" s="7" t="s">
        <v>32</v>
      </c>
      <c r="N4" s="7" t="s">
        <v>62</v>
      </c>
    </row>
    <row r="5" spans="1:15" x14ac:dyDescent="0.15">
      <c r="A5" s="7" t="s">
        <v>48</v>
      </c>
      <c r="B5" s="7" t="s">
        <v>33</v>
      </c>
      <c r="C5" s="7">
        <v>28.11</v>
      </c>
      <c r="D5" s="7">
        <v>1000</v>
      </c>
      <c r="E5" s="7">
        <v>28.11</v>
      </c>
      <c r="F5" s="7">
        <v>1000</v>
      </c>
      <c r="G5" s="7" t="s">
        <v>29</v>
      </c>
      <c r="H5" s="7" t="s">
        <v>63</v>
      </c>
      <c r="I5" s="7" t="s">
        <v>64</v>
      </c>
      <c r="J5" s="7" t="s">
        <v>49</v>
      </c>
      <c r="K5" s="7" t="s">
        <v>30</v>
      </c>
      <c r="L5" s="7" t="s">
        <v>31</v>
      </c>
      <c r="M5" s="7" t="s">
        <v>32</v>
      </c>
      <c r="N5" s="7" t="s">
        <v>65</v>
      </c>
    </row>
    <row r="6" spans="1:15" x14ac:dyDescent="0.15">
      <c r="A6" s="7" t="s">
        <v>66</v>
      </c>
      <c r="B6" s="7" t="s">
        <v>33</v>
      </c>
      <c r="C6" s="7">
        <v>26.72</v>
      </c>
      <c r="D6" s="7">
        <v>2000</v>
      </c>
      <c r="E6" s="7">
        <v>26.72</v>
      </c>
      <c r="F6" s="7">
        <v>2000</v>
      </c>
      <c r="G6" s="7" t="s">
        <v>29</v>
      </c>
      <c r="H6" s="7" t="s">
        <v>67</v>
      </c>
      <c r="I6" s="7" t="s">
        <v>68</v>
      </c>
      <c r="J6" s="7" t="s">
        <v>69</v>
      </c>
      <c r="K6" s="7" t="s">
        <v>30</v>
      </c>
      <c r="L6" s="7" t="s">
        <v>31</v>
      </c>
      <c r="M6" s="7" t="s">
        <v>32</v>
      </c>
      <c r="N6" s="7" t="s">
        <v>70</v>
      </c>
    </row>
    <row r="7" spans="1:15" x14ac:dyDescent="0.15">
      <c r="A7" s="7" t="s">
        <v>71</v>
      </c>
      <c r="B7" s="7" t="s">
        <v>33</v>
      </c>
      <c r="C7" s="7">
        <v>38.450000000000003</v>
      </c>
      <c r="D7" s="7">
        <v>1100</v>
      </c>
      <c r="E7" s="7">
        <v>38.450000000000003</v>
      </c>
      <c r="F7" s="7">
        <v>1100</v>
      </c>
      <c r="G7" s="7" t="s">
        <v>29</v>
      </c>
      <c r="H7" s="7" t="s">
        <v>72</v>
      </c>
      <c r="I7" s="7" t="s">
        <v>73</v>
      </c>
      <c r="J7" s="7" t="s">
        <v>74</v>
      </c>
      <c r="K7" s="7" t="s">
        <v>34</v>
      </c>
      <c r="L7" s="7" t="s">
        <v>31</v>
      </c>
      <c r="M7" s="7" t="s">
        <v>32</v>
      </c>
      <c r="N7" s="7" t="s">
        <v>75</v>
      </c>
    </row>
    <row r="8" spans="1:15" x14ac:dyDescent="0.15">
      <c r="A8" s="7" t="s">
        <v>35</v>
      </c>
      <c r="B8" s="7" t="s">
        <v>33</v>
      </c>
      <c r="C8" s="7">
        <v>24.64</v>
      </c>
      <c r="D8" s="7">
        <v>2000</v>
      </c>
      <c r="E8" s="7">
        <v>24.64</v>
      </c>
      <c r="F8" s="7">
        <v>2000</v>
      </c>
      <c r="G8" s="7" t="s">
        <v>29</v>
      </c>
      <c r="H8" s="7" t="s">
        <v>76</v>
      </c>
      <c r="I8" s="7" t="s">
        <v>77</v>
      </c>
      <c r="J8" s="7" t="s">
        <v>37</v>
      </c>
      <c r="K8" s="7" t="s">
        <v>30</v>
      </c>
      <c r="L8" s="7" t="s">
        <v>31</v>
      </c>
      <c r="M8" s="7" t="s">
        <v>32</v>
      </c>
      <c r="N8" s="7" t="s">
        <v>78</v>
      </c>
    </row>
    <row r="9" spans="1:15" x14ac:dyDescent="0.15">
      <c r="A9" s="7" t="s">
        <v>46</v>
      </c>
      <c r="B9" s="7" t="s">
        <v>33</v>
      </c>
      <c r="C9" s="7">
        <v>19.920000000000002</v>
      </c>
      <c r="D9" s="7">
        <v>1300</v>
      </c>
      <c r="E9" s="7">
        <v>19.920000000000002</v>
      </c>
      <c r="F9" s="7">
        <v>1300</v>
      </c>
      <c r="G9" s="7" t="s">
        <v>29</v>
      </c>
      <c r="H9" s="7" t="s">
        <v>79</v>
      </c>
      <c r="I9" s="7" t="s">
        <v>80</v>
      </c>
      <c r="J9" s="7" t="s">
        <v>47</v>
      </c>
      <c r="K9" s="7" t="s">
        <v>30</v>
      </c>
      <c r="L9" s="7" t="s">
        <v>31</v>
      </c>
      <c r="M9" s="7" t="s">
        <v>32</v>
      </c>
      <c r="N9" s="7" t="s">
        <v>81</v>
      </c>
    </row>
    <row r="10" spans="1:15" x14ac:dyDescent="0.15">
      <c r="A10" s="7" t="s">
        <v>42</v>
      </c>
      <c r="B10" s="7" t="s">
        <v>33</v>
      </c>
      <c r="C10" s="7">
        <v>44.2</v>
      </c>
      <c r="D10" s="7">
        <v>2615</v>
      </c>
      <c r="E10" s="7">
        <v>44.2</v>
      </c>
      <c r="F10" s="7">
        <v>2615</v>
      </c>
      <c r="G10" s="7" t="s">
        <v>29</v>
      </c>
      <c r="H10" s="7" t="s">
        <v>82</v>
      </c>
      <c r="I10" s="7" t="s">
        <v>83</v>
      </c>
      <c r="J10" s="7" t="s">
        <v>43</v>
      </c>
      <c r="K10" s="7" t="s">
        <v>34</v>
      </c>
      <c r="L10" s="7" t="s">
        <v>31</v>
      </c>
      <c r="M10" s="7" t="s">
        <v>32</v>
      </c>
      <c r="N10" s="7" t="s">
        <v>84</v>
      </c>
      <c r="O10" s="7"/>
    </row>
    <row r="11" spans="1:15" x14ac:dyDescent="0.15">
      <c r="A11" s="7" t="s">
        <v>40</v>
      </c>
      <c r="B11" s="7" t="s">
        <v>33</v>
      </c>
      <c r="C11" s="7">
        <v>23.26</v>
      </c>
      <c r="D11" s="7">
        <v>3000</v>
      </c>
      <c r="E11" s="7">
        <v>23.26</v>
      </c>
      <c r="F11" s="7">
        <v>3000</v>
      </c>
      <c r="G11" s="7" t="s">
        <v>29</v>
      </c>
      <c r="H11" s="7" t="s">
        <v>85</v>
      </c>
      <c r="I11" s="7" t="s">
        <v>86</v>
      </c>
      <c r="J11" s="7" t="s">
        <v>41</v>
      </c>
      <c r="K11" s="7" t="s">
        <v>30</v>
      </c>
      <c r="L11" s="7" t="s">
        <v>31</v>
      </c>
      <c r="M11" s="7" t="s">
        <v>32</v>
      </c>
      <c r="N11" s="7" t="s">
        <v>87</v>
      </c>
    </row>
    <row r="12" spans="1:15" x14ac:dyDescent="0.15">
      <c r="A12" s="7" t="s">
        <v>88</v>
      </c>
      <c r="B12" s="7" t="s">
        <v>33</v>
      </c>
      <c r="C12" s="7">
        <v>446.28</v>
      </c>
      <c r="D12" s="7">
        <v>200</v>
      </c>
      <c r="E12" s="7">
        <v>446.28</v>
      </c>
      <c r="F12" s="7">
        <v>200</v>
      </c>
      <c r="G12" s="7" t="s">
        <v>29</v>
      </c>
      <c r="H12" s="7" t="s">
        <v>89</v>
      </c>
      <c r="I12" s="7" t="s">
        <v>90</v>
      </c>
      <c r="J12" s="7" t="s">
        <v>91</v>
      </c>
      <c r="K12" s="7" t="s">
        <v>30</v>
      </c>
      <c r="L12" s="7" t="s">
        <v>31</v>
      </c>
      <c r="M12" s="7" t="s">
        <v>32</v>
      </c>
      <c r="N12" s="7" t="s">
        <v>92</v>
      </c>
    </row>
    <row r="13" spans="1:15" x14ac:dyDescent="0.15">
      <c r="A13" s="7" t="s">
        <v>38</v>
      </c>
      <c r="B13" s="7" t="s">
        <v>33</v>
      </c>
      <c r="C13" s="7">
        <v>30.24</v>
      </c>
      <c r="D13" s="7">
        <v>2700</v>
      </c>
      <c r="E13" s="7">
        <v>30.24</v>
      </c>
      <c r="F13" s="7">
        <v>2700</v>
      </c>
      <c r="G13" s="7" t="s">
        <v>29</v>
      </c>
      <c r="H13" s="7" t="s">
        <v>93</v>
      </c>
      <c r="I13" s="7" t="s">
        <v>94</v>
      </c>
      <c r="J13" s="7" t="s">
        <v>39</v>
      </c>
      <c r="K13" s="7" t="s">
        <v>34</v>
      </c>
      <c r="L13" s="7" t="s">
        <v>31</v>
      </c>
      <c r="M13" s="7" t="s">
        <v>32</v>
      </c>
      <c r="N13" s="7" t="s">
        <v>95</v>
      </c>
    </row>
    <row r="14" spans="1:15" x14ac:dyDescent="0.15">
      <c r="A14" s="7" t="s">
        <v>96</v>
      </c>
      <c r="B14" s="7" t="s">
        <v>33</v>
      </c>
      <c r="C14" s="7">
        <v>37.17</v>
      </c>
      <c r="D14" s="7">
        <v>2300</v>
      </c>
      <c r="E14" s="7">
        <v>37.17</v>
      </c>
      <c r="F14" s="7">
        <v>2300</v>
      </c>
      <c r="G14" s="7" t="s">
        <v>29</v>
      </c>
      <c r="H14" s="7" t="s">
        <v>97</v>
      </c>
      <c r="I14" s="7" t="s">
        <v>98</v>
      </c>
      <c r="J14" s="7" t="s">
        <v>99</v>
      </c>
      <c r="K14" s="7" t="s">
        <v>34</v>
      </c>
      <c r="L14" s="7" t="s">
        <v>31</v>
      </c>
      <c r="M14" s="7" t="s">
        <v>32</v>
      </c>
      <c r="N14" s="7" t="s">
        <v>100</v>
      </c>
    </row>
    <row r="15" spans="1:15" x14ac:dyDescent="0.15">
      <c r="A15" s="7" t="s">
        <v>35</v>
      </c>
      <c r="B15" s="7" t="s">
        <v>33</v>
      </c>
      <c r="C15" s="7">
        <v>24.63</v>
      </c>
      <c r="D15" s="7">
        <v>2300</v>
      </c>
      <c r="E15" s="7">
        <v>24.64</v>
      </c>
      <c r="F15" s="7">
        <v>2300</v>
      </c>
      <c r="G15" s="7" t="s">
        <v>29</v>
      </c>
      <c r="H15" s="7" t="s">
        <v>101</v>
      </c>
      <c r="I15" s="7" t="s">
        <v>102</v>
      </c>
      <c r="J15" s="7" t="s">
        <v>37</v>
      </c>
      <c r="K15" s="7" t="s">
        <v>30</v>
      </c>
      <c r="L15" s="7" t="s">
        <v>31</v>
      </c>
      <c r="M15" s="7" t="s">
        <v>32</v>
      </c>
      <c r="N15" s="7" t="s">
        <v>103</v>
      </c>
    </row>
    <row r="16" spans="1:15" x14ac:dyDescent="0.15">
      <c r="A16" s="7" t="s">
        <v>35</v>
      </c>
      <c r="B16" s="7" t="s">
        <v>33</v>
      </c>
      <c r="C16" s="7">
        <v>24.63</v>
      </c>
      <c r="D16" s="7">
        <v>2200</v>
      </c>
      <c r="E16" s="7">
        <v>24.63</v>
      </c>
      <c r="F16" s="7">
        <v>2200</v>
      </c>
      <c r="G16" s="7" t="s">
        <v>29</v>
      </c>
      <c r="H16" s="7" t="s">
        <v>104</v>
      </c>
      <c r="I16" s="7" t="s">
        <v>105</v>
      </c>
      <c r="J16" s="7" t="s">
        <v>37</v>
      </c>
      <c r="K16" s="7" t="s">
        <v>30</v>
      </c>
      <c r="L16" s="7" t="s">
        <v>31</v>
      </c>
      <c r="M16" s="7" t="s">
        <v>32</v>
      </c>
      <c r="N16" s="7" t="s">
        <v>106</v>
      </c>
      <c r="O16" s="7"/>
    </row>
    <row r="17" spans="1:15" x14ac:dyDescent="0.15">
      <c r="A17" s="7" t="s">
        <v>42</v>
      </c>
      <c r="B17" s="7" t="s">
        <v>33</v>
      </c>
      <c r="C17" s="7">
        <v>44.21</v>
      </c>
      <c r="D17" s="7">
        <v>1000</v>
      </c>
      <c r="E17" s="7">
        <v>44.21</v>
      </c>
      <c r="F17" s="7">
        <v>1000</v>
      </c>
      <c r="G17" s="7" t="s">
        <v>29</v>
      </c>
      <c r="H17" s="7" t="s">
        <v>107</v>
      </c>
      <c r="I17" s="7" t="s">
        <v>108</v>
      </c>
      <c r="J17" s="7" t="s">
        <v>43</v>
      </c>
      <c r="K17" s="7" t="s">
        <v>34</v>
      </c>
      <c r="L17" s="7" t="s">
        <v>31</v>
      </c>
      <c r="M17" s="7" t="s">
        <v>32</v>
      </c>
      <c r="N17" s="7" t="s">
        <v>109</v>
      </c>
    </row>
    <row r="18" spans="1:15" x14ac:dyDescent="0.15">
      <c r="A18" s="7" t="s">
        <v>96</v>
      </c>
      <c r="B18" s="7" t="s">
        <v>36</v>
      </c>
      <c r="C18" s="7">
        <v>36.799999999999997</v>
      </c>
      <c r="D18" s="7">
        <v>200</v>
      </c>
      <c r="E18" s="7">
        <v>36.799999999999997</v>
      </c>
      <c r="F18" s="7">
        <v>200</v>
      </c>
      <c r="G18" s="7" t="s">
        <v>29</v>
      </c>
      <c r="H18" s="7" t="s">
        <v>110</v>
      </c>
      <c r="I18" s="7" t="s">
        <v>111</v>
      </c>
      <c r="J18" s="7" t="s">
        <v>99</v>
      </c>
      <c r="K18" s="7" t="s">
        <v>34</v>
      </c>
      <c r="L18" s="7" t="s">
        <v>31</v>
      </c>
      <c r="M18" s="7" t="s">
        <v>32</v>
      </c>
      <c r="N18" s="7" t="s">
        <v>112</v>
      </c>
      <c r="O18" s="7">
        <f>+E18*F18/36</f>
        <v>204.44444444444443</v>
      </c>
    </row>
    <row r="19" spans="1:15" x14ac:dyDescent="0.15">
      <c r="A19" s="7" t="s">
        <v>46</v>
      </c>
      <c r="B19" s="7" t="s">
        <v>36</v>
      </c>
      <c r="C19" s="7">
        <v>20</v>
      </c>
      <c r="D19" s="7">
        <v>1000</v>
      </c>
      <c r="E19" s="7">
        <v>20</v>
      </c>
      <c r="F19" s="7">
        <v>1000</v>
      </c>
      <c r="G19" s="7" t="s">
        <v>29</v>
      </c>
      <c r="H19" s="7" t="s">
        <v>113</v>
      </c>
      <c r="I19" s="7" t="s">
        <v>114</v>
      </c>
      <c r="J19" s="7" t="s">
        <v>47</v>
      </c>
      <c r="K19" s="7" t="s">
        <v>30</v>
      </c>
      <c r="L19" s="7" t="s">
        <v>31</v>
      </c>
      <c r="M19" s="7" t="s">
        <v>32</v>
      </c>
      <c r="N19" s="7" t="s">
        <v>115</v>
      </c>
    </row>
    <row r="20" spans="1:15" x14ac:dyDescent="0.15">
      <c r="A20" s="7" t="s">
        <v>116</v>
      </c>
      <c r="B20" s="7" t="s">
        <v>36</v>
      </c>
      <c r="C20" s="7">
        <v>49.64</v>
      </c>
      <c r="D20" s="7">
        <v>400</v>
      </c>
      <c r="E20" s="7">
        <v>49.64</v>
      </c>
      <c r="F20" s="7">
        <v>400</v>
      </c>
      <c r="G20" s="7" t="s">
        <v>29</v>
      </c>
      <c r="H20" s="7" t="s">
        <v>117</v>
      </c>
      <c r="I20" s="7" t="s">
        <v>118</v>
      </c>
      <c r="J20" s="7" t="s">
        <v>119</v>
      </c>
      <c r="K20" s="7" t="s">
        <v>34</v>
      </c>
      <c r="L20" s="7" t="s">
        <v>31</v>
      </c>
      <c r="M20" s="7" t="s">
        <v>32</v>
      </c>
      <c r="N20" s="7" t="s">
        <v>120</v>
      </c>
    </row>
    <row r="21" spans="1:15" x14ac:dyDescent="0.15">
      <c r="A21" s="7" t="s">
        <v>44</v>
      </c>
      <c r="B21" s="7" t="s">
        <v>36</v>
      </c>
      <c r="C21" s="7">
        <v>15.16</v>
      </c>
      <c r="D21" s="7">
        <v>1300</v>
      </c>
      <c r="E21" s="7">
        <v>15.16</v>
      </c>
      <c r="F21" s="7">
        <v>1300</v>
      </c>
      <c r="G21" s="7" t="s">
        <v>29</v>
      </c>
      <c r="H21" s="7" t="s">
        <v>121</v>
      </c>
      <c r="I21" s="7" t="s">
        <v>122</v>
      </c>
      <c r="J21" s="7" t="s">
        <v>45</v>
      </c>
      <c r="K21" s="7" t="s">
        <v>30</v>
      </c>
      <c r="L21" s="7" t="s">
        <v>31</v>
      </c>
      <c r="M21" s="7" t="s">
        <v>32</v>
      </c>
      <c r="N21" s="7" t="s">
        <v>123</v>
      </c>
    </row>
    <row r="22" spans="1:15" x14ac:dyDescent="0.15">
      <c r="A22" s="7" t="s">
        <v>44</v>
      </c>
      <c r="B22" s="7" t="s">
        <v>36</v>
      </c>
      <c r="C22" s="7">
        <v>15.2</v>
      </c>
      <c r="D22" s="7">
        <v>1300</v>
      </c>
      <c r="E22" s="7">
        <v>15.2</v>
      </c>
      <c r="F22" s="7">
        <v>1300</v>
      </c>
      <c r="G22" s="7" t="s">
        <v>29</v>
      </c>
      <c r="H22" s="7" t="s">
        <v>124</v>
      </c>
      <c r="I22" s="7" t="s">
        <v>125</v>
      </c>
      <c r="J22" s="7" t="s">
        <v>45</v>
      </c>
      <c r="K22" s="7" t="s">
        <v>30</v>
      </c>
      <c r="L22" s="7" t="s">
        <v>31</v>
      </c>
      <c r="M22" s="7" t="s">
        <v>32</v>
      </c>
      <c r="N22" s="7" t="s">
        <v>126</v>
      </c>
    </row>
    <row r="23" spans="1:15" x14ac:dyDescent="0.15">
      <c r="A23" s="7" t="s">
        <v>46</v>
      </c>
      <c r="B23" s="7" t="s">
        <v>36</v>
      </c>
      <c r="C23" s="7">
        <v>20.25</v>
      </c>
      <c r="D23" s="7">
        <v>900</v>
      </c>
      <c r="E23" s="7">
        <v>20.25</v>
      </c>
      <c r="F23" s="7">
        <v>900</v>
      </c>
      <c r="G23" s="7" t="s">
        <v>29</v>
      </c>
      <c r="H23" s="7" t="s">
        <v>127</v>
      </c>
      <c r="I23" s="7" t="s">
        <v>128</v>
      </c>
      <c r="J23" s="7" t="s">
        <v>47</v>
      </c>
      <c r="K23" s="7" t="s">
        <v>30</v>
      </c>
      <c r="L23" s="7" t="s">
        <v>31</v>
      </c>
      <c r="M23" s="7" t="s">
        <v>32</v>
      </c>
      <c r="N23" s="7" t="s">
        <v>129</v>
      </c>
    </row>
    <row r="24" spans="1:15" x14ac:dyDescent="0.15">
      <c r="A24" s="7" t="s">
        <v>50</v>
      </c>
      <c r="B24" s="7" t="s">
        <v>36</v>
      </c>
      <c r="C24" s="7">
        <v>16.940000000000001</v>
      </c>
      <c r="D24" s="7">
        <v>1100</v>
      </c>
      <c r="E24" s="7">
        <v>16.940000000000001</v>
      </c>
      <c r="F24" s="7">
        <v>1100</v>
      </c>
      <c r="G24" s="7" t="s">
        <v>29</v>
      </c>
      <c r="H24" s="7" t="s">
        <v>130</v>
      </c>
      <c r="I24" s="7" t="s">
        <v>131</v>
      </c>
      <c r="J24" s="7" t="s">
        <v>51</v>
      </c>
      <c r="K24" s="7" t="s">
        <v>34</v>
      </c>
      <c r="L24" s="7" t="s">
        <v>31</v>
      </c>
      <c r="M24" s="7" t="s">
        <v>32</v>
      </c>
      <c r="N24" s="7" t="s">
        <v>132</v>
      </c>
    </row>
    <row r="25" spans="1:15" x14ac:dyDescent="0.15">
      <c r="A25" s="7" t="s">
        <v>44</v>
      </c>
      <c r="B25" s="7" t="s">
        <v>36</v>
      </c>
      <c r="C25" s="7">
        <v>15.21</v>
      </c>
      <c r="D25" s="7">
        <v>1300</v>
      </c>
      <c r="E25" s="7">
        <v>15.21</v>
      </c>
      <c r="F25" s="7">
        <v>1300</v>
      </c>
      <c r="G25" s="7" t="s">
        <v>29</v>
      </c>
      <c r="H25" s="7" t="s">
        <v>133</v>
      </c>
      <c r="I25" s="7" t="s">
        <v>134</v>
      </c>
      <c r="J25" s="7" t="s">
        <v>45</v>
      </c>
      <c r="K25" s="7" t="s">
        <v>30</v>
      </c>
      <c r="L25" s="7" t="s">
        <v>31</v>
      </c>
      <c r="M25" s="7" t="s">
        <v>32</v>
      </c>
      <c r="N25" s="7" t="s">
        <v>135</v>
      </c>
    </row>
    <row r="26" spans="1:15" x14ac:dyDescent="0.15">
      <c r="A26" s="7" t="s">
        <v>46</v>
      </c>
      <c r="B26" s="7" t="s">
        <v>36</v>
      </c>
      <c r="C26" s="7">
        <v>20.14</v>
      </c>
      <c r="D26" s="7">
        <v>900</v>
      </c>
      <c r="E26" s="7">
        <v>20.14</v>
      </c>
      <c r="F26" s="7">
        <v>900</v>
      </c>
      <c r="G26" s="7" t="s">
        <v>29</v>
      </c>
      <c r="H26" s="7" t="s">
        <v>136</v>
      </c>
      <c r="I26" s="7" t="s">
        <v>137</v>
      </c>
      <c r="J26" s="7" t="s">
        <v>47</v>
      </c>
      <c r="K26" s="7" t="s">
        <v>30</v>
      </c>
      <c r="L26" s="7" t="s">
        <v>31</v>
      </c>
      <c r="M26" s="7" t="s">
        <v>32</v>
      </c>
      <c r="N26" s="7" t="s">
        <v>138</v>
      </c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>
        <f>+E30*F30/36</f>
        <v>0</v>
      </c>
    </row>
    <row r="51" spans="15:15" x14ac:dyDescent="0.15">
      <c r="O51" s="7">
        <f>+E51*F51/36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26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42923</v>
      </c>
      <c r="B2" s="5" t="str">
        <f>'20161118 当日委托查询'!H2</f>
        <v>14:59:48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002050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-1100</v>
      </c>
      <c r="L2" s="7">
        <v>1</v>
      </c>
      <c r="M2" s="7">
        <f>'20161118 当日委托查询'!E2</f>
        <v>16.89</v>
      </c>
    </row>
    <row r="3" spans="1:25" x14ac:dyDescent="0.15">
      <c r="A3" s="2">
        <f t="shared" ca="1" si="0"/>
        <v>42923</v>
      </c>
      <c r="B3" s="5" t="str">
        <f>'20161118 当日委托查询'!H3</f>
        <v>14:59:28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601628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-2000</v>
      </c>
      <c r="L3" s="7">
        <v>1</v>
      </c>
      <c r="M3" s="7">
        <f>'20161118 当日委托查询'!E3</f>
        <v>27.45</v>
      </c>
    </row>
    <row r="4" spans="1:25" x14ac:dyDescent="0.15">
      <c r="A4" s="2">
        <f t="shared" ca="1" si="0"/>
        <v>42923</v>
      </c>
      <c r="B4" s="5" t="str">
        <f>'20161118 当日委托查询'!H4</f>
        <v>14:59:03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600874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-1400</v>
      </c>
      <c r="L4" s="7">
        <v>1</v>
      </c>
      <c r="M4" s="7">
        <f>'20161118 当日委托查询'!E4</f>
        <v>19.98</v>
      </c>
    </row>
    <row r="5" spans="1:25" x14ac:dyDescent="0.15">
      <c r="A5" s="2">
        <f t="shared" ca="1" si="0"/>
        <v>42923</v>
      </c>
      <c r="B5" s="5" t="str">
        <f>'20161118 当日委托查询'!H5</f>
        <v>14:57:16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600260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-1000</v>
      </c>
      <c r="L5" s="7">
        <v>1</v>
      </c>
      <c r="M5" s="7">
        <f>'20161118 当日委托查询'!E5</f>
        <v>28.11</v>
      </c>
    </row>
    <row r="6" spans="1:25" x14ac:dyDescent="0.15">
      <c r="A6" s="2">
        <f t="shared" ca="1" si="0"/>
        <v>42923</v>
      </c>
      <c r="B6" s="5" t="str">
        <f>'20161118 当日委托查询'!H6</f>
        <v>14:56:40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601238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-2000</v>
      </c>
      <c r="L6" s="7">
        <v>1</v>
      </c>
      <c r="M6" s="7">
        <f>'20161118 当日委托查询'!E6</f>
        <v>26.72</v>
      </c>
    </row>
    <row r="7" spans="1:25" x14ac:dyDescent="0.15">
      <c r="A7" s="2">
        <f t="shared" ca="1" si="0"/>
        <v>42923</v>
      </c>
      <c r="B7" s="5" t="str">
        <f>'20161118 当日委托查询'!H7</f>
        <v>14:54:14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000651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-1100</v>
      </c>
      <c r="L7" s="7">
        <v>1</v>
      </c>
      <c r="M7" s="7">
        <f>'20161118 当日委托查询'!E7</f>
        <v>38.450000000000003</v>
      </c>
    </row>
    <row r="8" spans="1:25" x14ac:dyDescent="0.15">
      <c r="A8" s="2">
        <f t="shared" ca="1" si="0"/>
        <v>42923</v>
      </c>
      <c r="B8" s="5" t="str">
        <f>'20161118 当日委托查询'!H8</f>
        <v>14:53:51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600660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-2000</v>
      </c>
      <c r="L8" s="7">
        <v>1</v>
      </c>
      <c r="M8" s="7">
        <f>'20161118 当日委托查询'!E8</f>
        <v>24.64</v>
      </c>
    </row>
    <row r="9" spans="1:25" x14ac:dyDescent="0.15">
      <c r="A9" s="2">
        <f t="shared" ca="1" si="0"/>
        <v>42923</v>
      </c>
      <c r="B9" s="5" t="str">
        <f>'20161118 当日委托查询'!H9</f>
        <v>14:53:03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600874</v>
      </c>
      <c r="I9" s="7" t="str">
        <f>IF('20161118 当日委托查询'!B9="卖出","S","B")</f>
        <v>S</v>
      </c>
      <c r="J9" s="7" t="s">
        <v>28</v>
      </c>
      <c r="K9" s="7">
        <f>IF(I9="S",-1*'20161118 当日委托查询'!F9,'20161118 当日委托查询'!F9)</f>
        <v>-1300</v>
      </c>
      <c r="L9" s="7">
        <v>1</v>
      </c>
      <c r="M9" s="7">
        <f>'20161118 当日委托查询'!E9</f>
        <v>19.920000000000002</v>
      </c>
    </row>
    <row r="10" spans="1:25" x14ac:dyDescent="0.15">
      <c r="A10" s="2">
        <f t="shared" ca="1" si="0"/>
        <v>42923</v>
      </c>
      <c r="B10" s="5" t="str">
        <f>'20161118 当日委托查询'!H10</f>
        <v>14:52:52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000418</v>
      </c>
      <c r="I10" s="7" t="str">
        <f>IF('20161118 当日委托查询'!B10="卖出","S","B")</f>
        <v>S</v>
      </c>
      <c r="J10" s="7" t="s">
        <v>28</v>
      </c>
      <c r="K10" s="7">
        <f>IF(I10="S",-1*'20161118 当日委托查询'!F10,'20161118 当日委托查询'!F10)</f>
        <v>-2615</v>
      </c>
      <c r="L10" s="7">
        <v>1</v>
      </c>
      <c r="M10" s="7">
        <f>'20161118 当日委托查询'!E10</f>
        <v>44.2</v>
      </c>
    </row>
    <row r="11" spans="1:25" x14ac:dyDescent="0.15">
      <c r="A11" s="2">
        <f t="shared" ca="1" si="0"/>
        <v>42923</v>
      </c>
      <c r="B11" s="5" t="str">
        <f>'20161118 当日委托查询'!H11</f>
        <v>14:52:32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600036</v>
      </c>
      <c r="I11" s="7" t="str">
        <f>IF('20161118 当日委托查询'!B11="卖出","S","B")</f>
        <v>S</v>
      </c>
      <c r="J11" s="7" t="s">
        <v>28</v>
      </c>
      <c r="K11" s="7">
        <f>IF(I11="S",-1*'20161118 当日委托查询'!F11,'20161118 当日委托查询'!F11)</f>
        <v>-3000</v>
      </c>
      <c r="L11" s="7">
        <v>1</v>
      </c>
      <c r="M11" s="7">
        <f>'20161118 当日委托查询'!E11</f>
        <v>23.26</v>
      </c>
    </row>
    <row r="12" spans="1:25" x14ac:dyDescent="0.15">
      <c r="A12" s="2">
        <f t="shared" ca="1" si="0"/>
        <v>42923</v>
      </c>
      <c r="B12" s="5" t="str">
        <f>'20161118 当日委托查询'!H12</f>
        <v>14:52:18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600519</v>
      </c>
      <c r="I12" s="7" t="str">
        <f>IF('20161118 当日委托查询'!B12="卖出","S","B")</f>
        <v>S</v>
      </c>
      <c r="J12" s="7" t="s">
        <v>28</v>
      </c>
      <c r="K12" s="7">
        <f>IF(I12="S",-1*'20161118 当日委托查询'!F12,'20161118 当日委托查询'!F12)</f>
        <v>-200</v>
      </c>
      <c r="L12" s="7">
        <v>1</v>
      </c>
      <c r="M12" s="7">
        <f>'20161118 当日委托查询'!E12</f>
        <v>446.28</v>
      </c>
    </row>
    <row r="13" spans="1:25" x14ac:dyDescent="0.15">
      <c r="A13" s="2">
        <f t="shared" ca="1" si="0"/>
        <v>42923</v>
      </c>
      <c r="B13" s="5" t="str">
        <f>'20161118 当日委托查询'!H13</f>
        <v>14:52:09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002415</v>
      </c>
      <c r="I13" s="7" t="str">
        <f>IF('20161118 当日委托查询'!B13="卖出","S","B")</f>
        <v>S</v>
      </c>
      <c r="J13" s="7" t="s">
        <v>28</v>
      </c>
      <c r="K13" s="7">
        <f>IF(I13="S",-1*'20161118 当日委托查询'!F13,'20161118 当日委托查询'!F13)</f>
        <v>-2700</v>
      </c>
      <c r="L13" s="7">
        <v>1</v>
      </c>
      <c r="M13" s="7">
        <f>'20161118 当日委托查询'!E13</f>
        <v>30.24</v>
      </c>
    </row>
    <row r="14" spans="1:25" x14ac:dyDescent="0.15">
      <c r="A14" s="2">
        <f t="shared" ca="1" si="0"/>
        <v>42923</v>
      </c>
      <c r="B14" s="5" t="str">
        <f>'20161118 当日委托查询'!H14</f>
        <v>14:51:59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002008</v>
      </c>
      <c r="I14" s="7" t="str">
        <f>IF('20161118 当日委托查询'!B14="卖出","S","B")</f>
        <v>S</v>
      </c>
      <c r="J14" s="7" t="s">
        <v>28</v>
      </c>
      <c r="K14" s="7">
        <f>IF(I14="S",-1*'20161118 当日委托查询'!F14,'20161118 当日委托查询'!F14)</f>
        <v>-2300</v>
      </c>
      <c r="L14" s="7">
        <v>1</v>
      </c>
      <c r="M14" s="7">
        <f>'20161118 当日委托查询'!E14</f>
        <v>37.17</v>
      </c>
    </row>
    <row r="15" spans="1:25" x14ac:dyDescent="0.15">
      <c r="A15" s="2">
        <f t="shared" ca="1" si="0"/>
        <v>42923</v>
      </c>
      <c r="B15" s="5" t="str">
        <f>'20161118 当日委托查询'!H15</f>
        <v>14:51:45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600660</v>
      </c>
      <c r="I15" s="7" t="str">
        <f>IF('20161118 当日委托查询'!B15="卖出","S","B")</f>
        <v>S</v>
      </c>
      <c r="J15" s="7" t="s">
        <v>28</v>
      </c>
      <c r="K15" s="7">
        <f>IF(I15="S",-1*'20161118 当日委托查询'!F15,'20161118 当日委托查询'!F15)</f>
        <v>-2300</v>
      </c>
      <c r="L15" s="7">
        <v>1</v>
      </c>
      <c r="M15" s="7">
        <f>'20161118 当日委托查询'!E15</f>
        <v>24.64</v>
      </c>
    </row>
    <row r="16" spans="1:25" x14ac:dyDescent="0.15">
      <c r="A16" s="2">
        <f t="shared" ca="1" si="0"/>
        <v>42923</v>
      </c>
      <c r="B16" s="5" t="str">
        <f>'20161118 当日委托查询'!H16</f>
        <v>14:51:33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600660</v>
      </c>
      <c r="I16" s="7" t="str">
        <f>IF('20161118 当日委托查询'!B16="卖出","S","B")</f>
        <v>S</v>
      </c>
      <c r="J16" s="7" t="s">
        <v>28</v>
      </c>
      <c r="K16" s="7">
        <f>IF(I16="S",-1*'20161118 当日委托查询'!F16,'20161118 当日委托查询'!F16)</f>
        <v>-2200</v>
      </c>
      <c r="L16" s="7">
        <v>1</v>
      </c>
      <c r="M16" s="7">
        <f>'20161118 当日委托查询'!E16</f>
        <v>24.63</v>
      </c>
    </row>
    <row r="17" spans="1:13" x14ac:dyDescent="0.15">
      <c r="A17" s="2">
        <f t="shared" ca="1" si="0"/>
        <v>42923</v>
      </c>
      <c r="B17" s="5" t="str">
        <f>'20161118 当日委托查询'!H17</f>
        <v>14:46:18</v>
      </c>
      <c r="C17" s="7" t="s">
        <v>25</v>
      </c>
      <c r="D17" s="7" t="s">
        <v>26</v>
      </c>
      <c r="E17" s="7" t="s">
        <v>27</v>
      </c>
      <c r="F17" s="7"/>
      <c r="G17" s="7"/>
      <c r="H17" s="7" t="str">
        <f>'20161118 当日委托查询'!J17</f>
        <v>000418</v>
      </c>
      <c r="I17" s="7" t="str">
        <f>IF('20161118 当日委托查询'!B17="卖出","S","B")</f>
        <v>S</v>
      </c>
      <c r="J17" s="7" t="s">
        <v>28</v>
      </c>
      <c r="K17" s="7">
        <f>IF(I17="S",-1*'20161118 当日委托查询'!F17,'20161118 当日委托查询'!F17)</f>
        <v>-1000</v>
      </c>
      <c r="L17" s="7">
        <v>1</v>
      </c>
      <c r="M17" s="7">
        <f>'20161118 当日委托查询'!E17</f>
        <v>44.21</v>
      </c>
    </row>
    <row r="18" spans="1:13" x14ac:dyDescent="0.15">
      <c r="A18" s="2">
        <f t="shared" ca="1" si="0"/>
        <v>42923</v>
      </c>
      <c r="B18" s="5" t="str">
        <f>'20161118 当日委托查询'!H18</f>
        <v>14:23:17</v>
      </c>
      <c r="C18" s="7" t="s">
        <v>25</v>
      </c>
      <c r="D18" s="7" t="s">
        <v>26</v>
      </c>
      <c r="E18" s="7" t="s">
        <v>27</v>
      </c>
      <c r="F18" s="7"/>
      <c r="G18" s="7"/>
      <c r="H18" s="7" t="str">
        <f>'20161118 当日委托查询'!J18</f>
        <v>002008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200</v>
      </c>
      <c r="L18" s="7">
        <v>1</v>
      </c>
      <c r="M18" s="7">
        <f>'20161118 当日委托查询'!E18</f>
        <v>36.799999999999997</v>
      </c>
    </row>
    <row r="19" spans="1:13" x14ac:dyDescent="0.15">
      <c r="A19" s="2">
        <f t="shared" ca="1" si="0"/>
        <v>42923</v>
      </c>
      <c r="B19" s="5" t="str">
        <f>'20161118 当日委托查询'!H19</f>
        <v>13:14:11</v>
      </c>
      <c r="C19" s="7" t="s">
        <v>25</v>
      </c>
      <c r="D19" s="7" t="s">
        <v>26</v>
      </c>
      <c r="E19" s="7" t="s">
        <v>27</v>
      </c>
      <c r="F19" s="7"/>
      <c r="G19" s="7"/>
      <c r="H19" s="7" t="str">
        <f>'20161118 当日委托查询'!J19</f>
        <v>600874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1000</v>
      </c>
      <c r="L19" s="7">
        <v>1</v>
      </c>
      <c r="M19" s="7">
        <f>'20161118 当日委托查询'!E19</f>
        <v>20</v>
      </c>
    </row>
    <row r="20" spans="1:13" x14ac:dyDescent="0.15">
      <c r="A20" s="2">
        <f t="shared" ca="1" si="0"/>
        <v>42923</v>
      </c>
      <c r="B20" s="5" t="str">
        <f>'20161118 当日委托查询'!H20</f>
        <v>10:31:07</v>
      </c>
      <c r="C20" s="7" t="s">
        <v>25</v>
      </c>
      <c r="D20" s="7" t="s">
        <v>26</v>
      </c>
      <c r="E20" s="7" t="s">
        <v>27</v>
      </c>
      <c r="F20" s="7"/>
      <c r="G20" s="7"/>
      <c r="H20" s="7" t="str">
        <f>'20161118 当日委托查询'!J20</f>
        <v>002460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400</v>
      </c>
      <c r="L20" s="7">
        <v>1</v>
      </c>
      <c r="M20" s="7">
        <f>'20161118 当日委托查询'!E20</f>
        <v>49.64</v>
      </c>
    </row>
    <row r="21" spans="1:13" x14ac:dyDescent="0.15">
      <c r="A21" s="2">
        <f t="shared" ca="1" si="0"/>
        <v>42923</v>
      </c>
      <c r="B21" s="5" t="str">
        <f>'20161118 当日委托查询'!H21</f>
        <v>10:19:47</v>
      </c>
      <c r="C21" s="7" t="s">
        <v>25</v>
      </c>
      <c r="D21" s="7" t="s">
        <v>26</v>
      </c>
      <c r="E21" s="7" t="s">
        <v>27</v>
      </c>
      <c r="F21" s="7"/>
      <c r="G21" s="7"/>
      <c r="H21" s="7" t="str">
        <f>'20161118 当日委托查询'!J21</f>
        <v>600900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1300</v>
      </c>
      <c r="L21" s="7">
        <v>1</v>
      </c>
      <c r="M21" s="7">
        <f>'20161118 当日委托查询'!E21</f>
        <v>15.16</v>
      </c>
    </row>
    <row r="22" spans="1:13" x14ac:dyDescent="0.15">
      <c r="A22" s="2">
        <f t="shared" ca="1" si="0"/>
        <v>42923</v>
      </c>
      <c r="B22" s="5" t="str">
        <f>'20161118 当日委托查询'!H22</f>
        <v>10:05:16</v>
      </c>
      <c r="C22" s="7" t="s">
        <v>25</v>
      </c>
      <c r="D22" s="7" t="s">
        <v>26</v>
      </c>
      <c r="E22" s="7" t="s">
        <v>27</v>
      </c>
      <c r="F22" s="7"/>
      <c r="G22" s="7"/>
      <c r="H22" s="7" t="str">
        <f>'20161118 当日委托查询'!J22</f>
        <v>600900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1300</v>
      </c>
      <c r="L22" s="7">
        <v>1</v>
      </c>
      <c r="M22" s="7">
        <f>'20161118 当日委托查询'!E22</f>
        <v>15.2</v>
      </c>
    </row>
    <row r="23" spans="1:13" x14ac:dyDescent="0.15">
      <c r="A23" s="2">
        <f t="shared" ca="1" si="0"/>
        <v>42923</v>
      </c>
      <c r="B23" s="5" t="str">
        <f>'20161118 当日委托查询'!H23</f>
        <v>09:59:42</v>
      </c>
      <c r="C23" s="7" t="s">
        <v>25</v>
      </c>
      <c r="D23" s="7" t="s">
        <v>26</v>
      </c>
      <c r="E23" s="7" t="s">
        <v>27</v>
      </c>
      <c r="F23" s="7"/>
      <c r="G23" s="7"/>
      <c r="H23" s="7" t="str">
        <f>'20161118 当日委托查询'!J23</f>
        <v>600874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900</v>
      </c>
      <c r="L23" s="7">
        <v>1</v>
      </c>
      <c r="M23" s="7">
        <f>'20161118 当日委托查询'!E23</f>
        <v>20.25</v>
      </c>
    </row>
    <row r="24" spans="1:13" x14ac:dyDescent="0.15">
      <c r="A24" s="2">
        <f t="shared" ca="1" si="0"/>
        <v>42923</v>
      </c>
      <c r="B24" s="5" t="str">
        <f>'20161118 当日委托查询'!H24</f>
        <v>09:58:41</v>
      </c>
      <c r="C24" s="7" t="s">
        <v>25</v>
      </c>
      <c r="D24" s="7" t="s">
        <v>26</v>
      </c>
      <c r="E24" s="7" t="s">
        <v>27</v>
      </c>
      <c r="F24" s="7"/>
      <c r="G24" s="7"/>
      <c r="H24" s="7" t="str">
        <f>'20161118 当日委托查询'!J24</f>
        <v>002050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1100</v>
      </c>
      <c r="L24" s="7">
        <v>1</v>
      </c>
      <c r="M24" s="7">
        <f>'20161118 当日委托查询'!E24</f>
        <v>16.940000000000001</v>
      </c>
    </row>
    <row r="25" spans="1:13" x14ac:dyDescent="0.15">
      <c r="A25" s="2">
        <f t="shared" ca="1" si="0"/>
        <v>42923</v>
      </c>
      <c r="B25" s="5" t="str">
        <f>'20161118 当日委托查询'!H25</f>
        <v>09:57:12</v>
      </c>
      <c r="C25" s="7" t="s">
        <v>25</v>
      </c>
      <c r="D25" s="7" t="s">
        <v>26</v>
      </c>
      <c r="E25" s="7" t="s">
        <v>27</v>
      </c>
      <c r="F25" s="7"/>
      <c r="G25" s="7"/>
      <c r="H25" s="7" t="str">
        <f>'20161118 当日委托查询'!J25</f>
        <v>600900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1300</v>
      </c>
      <c r="L25" s="7">
        <v>1</v>
      </c>
      <c r="M25" s="7">
        <f>'20161118 当日委托查询'!E25</f>
        <v>15.21</v>
      </c>
    </row>
    <row r="26" spans="1:13" x14ac:dyDescent="0.15">
      <c r="A26" s="2">
        <f t="shared" ca="1" si="0"/>
        <v>42923</v>
      </c>
      <c r="B26" s="5" t="str">
        <f>'20161118 当日委托查询'!H26</f>
        <v>09:45:34</v>
      </c>
      <c r="C26" s="7" t="s">
        <v>25</v>
      </c>
      <c r="D26" s="7" t="s">
        <v>26</v>
      </c>
      <c r="E26" s="7" t="s">
        <v>27</v>
      </c>
      <c r="F26" s="7"/>
      <c r="G26" s="7"/>
      <c r="H26" s="7" t="str">
        <f>'20161118 当日委托查询'!J26</f>
        <v>600874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900</v>
      </c>
      <c r="L26" s="7">
        <v>1</v>
      </c>
      <c r="M26" s="7">
        <f>'20161118 当日委托查询'!E26</f>
        <v>20.14</v>
      </c>
    </row>
    <row r="27" spans="1:13" x14ac:dyDescent="0.15">
      <c r="A27" s="2">
        <f t="shared" ca="1" si="0"/>
        <v>42923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42923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42923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42923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42923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42923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42923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42923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42923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42923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42923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42923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42923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42923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42923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42923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42923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42923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42923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42923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42923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42923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42923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42923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42923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42923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42923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42923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42923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42923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42923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42923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42923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42923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42923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42923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42923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42923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42923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42923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42923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42923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42923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42923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42923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42923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42923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42923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42923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42923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42923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2017-07-07T07:29:15Z</dcterms:modified>
</cp:coreProperties>
</file>