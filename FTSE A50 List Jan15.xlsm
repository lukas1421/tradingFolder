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newData">Current!$H$2</definedName>
    <definedName name="oldData">Current!$G$2</definedName>
    <definedName name="output">Current!$Y$3</definedName>
  </definedNames>
  <calcPr calcId="145621"/>
</workbook>
</file>

<file path=xl/calcChain.xml><?xml version="1.0" encoding="utf-8"?>
<calcChain xmlns="http://schemas.openxmlformats.org/spreadsheetml/2006/main">
  <c r="H5" i="3" l="1"/>
  <c r="H4" i="3"/>
  <c r="H3" i="3"/>
  <c r="H7" i="3"/>
  <c r="H8" i="3"/>
  <c r="C17" i="2" s="1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6" i="3"/>
  <c r="Z8" i="3" l="1"/>
  <c r="Z9" i="3"/>
  <c r="Y40" i="3"/>
  <c r="Z40" i="3"/>
  <c r="V40" i="3"/>
  <c r="F40" i="3"/>
  <c r="A40" i="3"/>
  <c r="Y8" i="3"/>
  <c r="Y9" i="3"/>
  <c r="F8" i="3"/>
  <c r="F9" i="3"/>
  <c r="A8" i="3"/>
  <c r="A9" i="3"/>
  <c r="V8" i="3"/>
  <c r="V9" i="3"/>
  <c r="V4" i="3" l="1"/>
  <c r="V5" i="3"/>
  <c r="V6" i="3"/>
  <c r="V7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1" i="3"/>
  <c r="V42" i="3"/>
  <c r="V43" i="3"/>
  <c r="V44" i="3"/>
  <c r="V45" i="3"/>
  <c r="V46" i="3"/>
  <c r="V47" i="3"/>
  <c r="V48" i="3"/>
  <c r="V49" i="3"/>
  <c r="V50" i="3"/>
  <c r="V51" i="3"/>
  <c r="V52" i="3"/>
  <c r="C2" i="2"/>
  <c r="A7" i="3"/>
  <c r="A27" i="3"/>
  <c r="F7" i="3"/>
  <c r="Y7" i="3" s="1"/>
  <c r="J7" i="3"/>
  <c r="K7" i="3"/>
  <c r="L7" i="3"/>
  <c r="M7" i="3" s="1"/>
  <c r="F27" i="3"/>
  <c r="Y27" i="3" s="1"/>
  <c r="J27" i="3"/>
  <c r="K27" i="3"/>
  <c r="L27" i="3"/>
  <c r="M27" i="3" s="1"/>
  <c r="C36" i="2" l="1"/>
  <c r="C19" i="2"/>
  <c r="C34" i="2"/>
  <c r="C11" i="2"/>
  <c r="C23" i="2"/>
  <c r="C16" i="2"/>
  <c r="C24" i="2"/>
  <c r="I7" i="3"/>
  <c r="C46" i="2"/>
  <c r="C44" i="2"/>
  <c r="C3" i="2"/>
  <c r="C6" i="2"/>
  <c r="C40" i="2"/>
  <c r="C5" i="2"/>
  <c r="C48" i="2"/>
  <c r="C43" i="2"/>
  <c r="C32" i="2"/>
  <c r="C21" i="2"/>
  <c r="C9" i="2"/>
  <c r="C4" i="2"/>
  <c r="I27" i="3"/>
  <c r="C47" i="2"/>
  <c r="C41" i="2"/>
  <c r="C28" i="2"/>
  <c r="C8" i="2"/>
  <c r="C50" i="2"/>
  <c r="C45" i="2"/>
  <c r="C37" i="2"/>
  <c r="C33" i="2"/>
  <c r="C26" i="2"/>
  <c r="C20" i="2"/>
  <c r="C12" i="2"/>
  <c r="C7" i="2"/>
  <c r="Z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Z7" i="3"/>
  <c r="I26" i="3"/>
  <c r="J26" i="3"/>
  <c r="L26" i="3"/>
  <c r="M26" i="3" s="1"/>
  <c r="I28" i="3"/>
  <c r="J28" i="3"/>
  <c r="K28" i="3"/>
  <c r="L28" i="3"/>
  <c r="M28" i="3" s="1"/>
  <c r="I29" i="3"/>
  <c r="J29" i="3"/>
  <c r="L29" i="3"/>
  <c r="M29" i="3" s="1"/>
  <c r="J30" i="3"/>
  <c r="L30" i="3"/>
  <c r="M30" i="3" s="1"/>
  <c r="J31" i="3"/>
  <c r="K31" i="3"/>
  <c r="L31" i="3"/>
  <c r="M31" i="3" s="1"/>
  <c r="I32" i="3"/>
  <c r="J32" i="3"/>
  <c r="L32" i="3"/>
  <c r="M32" i="3" s="1"/>
  <c r="I33" i="3"/>
  <c r="J33" i="3"/>
  <c r="K33" i="3"/>
  <c r="L33" i="3"/>
  <c r="M33" i="3" s="1"/>
  <c r="I34" i="3"/>
  <c r="J34" i="3"/>
  <c r="L34" i="3"/>
  <c r="M34" i="3" s="1"/>
  <c r="J35" i="3"/>
  <c r="L35" i="3"/>
  <c r="M35" i="3" s="1"/>
  <c r="I36" i="3"/>
  <c r="J36" i="3"/>
  <c r="L36" i="3"/>
  <c r="M36" i="3" s="1"/>
  <c r="J37" i="3"/>
  <c r="L37" i="3"/>
  <c r="M37" i="3" s="1"/>
  <c r="I38" i="3"/>
  <c r="J38" i="3"/>
  <c r="L38" i="3"/>
  <c r="M38" i="3" s="1"/>
  <c r="J39" i="3"/>
  <c r="L39" i="3"/>
  <c r="M39" i="3" s="1"/>
  <c r="I41" i="3"/>
  <c r="J41" i="3"/>
  <c r="K41" i="3"/>
  <c r="L41" i="3"/>
  <c r="M41" i="3" s="1"/>
  <c r="J42" i="3"/>
  <c r="L42" i="3"/>
  <c r="M42" i="3" s="1"/>
  <c r="I43" i="3"/>
  <c r="J43" i="3"/>
  <c r="L43" i="3"/>
  <c r="M43" i="3" s="1"/>
  <c r="I44" i="3"/>
  <c r="J44" i="3"/>
  <c r="L44" i="3"/>
  <c r="M44" i="3" s="1"/>
  <c r="I45" i="3"/>
  <c r="J45" i="3"/>
  <c r="L45" i="3"/>
  <c r="M45" i="3" s="1"/>
  <c r="J46" i="3"/>
  <c r="L46" i="3"/>
  <c r="M46" i="3" s="1"/>
  <c r="I47" i="3"/>
  <c r="J47" i="3"/>
  <c r="L47" i="3"/>
  <c r="M47" i="3" s="1"/>
  <c r="J48" i="3"/>
  <c r="K48" i="3"/>
  <c r="L48" i="3"/>
  <c r="M48" i="3" s="1"/>
  <c r="I49" i="3"/>
  <c r="J49" i="3"/>
  <c r="L49" i="3"/>
  <c r="M49" i="3" s="1"/>
  <c r="J50" i="3"/>
  <c r="L50" i="3"/>
  <c r="M50" i="3" s="1"/>
  <c r="I51" i="3"/>
  <c r="J51" i="3"/>
  <c r="L51" i="3"/>
  <c r="M51" i="3" s="1"/>
  <c r="J52" i="3"/>
  <c r="K52" i="3"/>
  <c r="L52" i="3"/>
  <c r="M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I42" i="3" l="1"/>
  <c r="I52" i="3"/>
  <c r="I39" i="3"/>
  <c r="I35" i="3"/>
  <c r="I50" i="3"/>
  <c r="I37" i="3"/>
  <c r="I31" i="3"/>
  <c r="I48" i="3"/>
  <c r="I46" i="3"/>
  <c r="I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F52" i="3"/>
  <c r="Y52" i="3" s="1"/>
  <c r="V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W1" i="3"/>
  <c r="Z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Z28" i="3" l="1"/>
  <c r="Z29" i="3"/>
  <c r="Z30" i="3"/>
  <c r="Z31" i="3"/>
  <c r="Z32" i="3"/>
  <c r="Z33" i="3"/>
  <c r="Z34" i="3"/>
  <c r="Z35" i="3"/>
  <c r="Z36" i="3"/>
  <c r="Z37" i="3"/>
  <c r="Z38" i="3"/>
  <c r="Z39" i="3"/>
  <c r="Z41" i="3"/>
  <c r="Z42" i="3"/>
  <c r="Z43" i="3"/>
  <c r="Z44" i="3"/>
  <c r="Z45" i="3"/>
  <c r="Z46" i="3"/>
  <c r="Z47" i="3"/>
  <c r="Z48" i="3"/>
  <c r="Z49" i="3"/>
  <c r="Z50" i="3"/>
  <c r="Z51" i="3"/>
  <c r="F28" i="3"/>
  <c r="Y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F48" i="3"/>
  <c r="Y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I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F33" i="3"/>
  <c r="Y33" i="3" s="1"/>
  <c r="F41" i="3"/>
  <c r="Y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Z4" i="3"/>
  <c r="Z5" i="3"/>
  <c r="Z6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I4" i="3"/>
  <c r="I5" i="3"/>
  <c r="I6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F31" i="3" l="1"/>
  <c r="Y31" i="3" s="1"/>
  <c r="D51" i="3" l="1"/>
  <c r="K51" i="3" s="1"/>
  <c r="D50" i="3"/>
  <c r="K50" i="3" s="1"/>
  <c r="D49" i="3"/>
  <c r="K49" i="3" s="1"/>
  <c r="D47" i="3"/>
  <c r="K47" i="3" s="1"/>
  <c r="D46" i="3"/>
  <c r="K46" i="3" s="1"/>
  <c r="D45" i="3"/>
  <c r="K45" i="3" s="1"/>
  <c r="D44" i="3"/>
  <c r="K44" i="3" s="1"/>
  <c r="D43" i="3"/>
  <c r="K43" i="3" s="1"/>
  <c r="D42" i="3"/>
  <c r="K42" i="3" s="1"/>
  <c r="D39" i="3"/>
  <c r="K39" i="3" s="1"/>
  <c r="D38" i="3"/>
  <c r="K38" i="3" s="1"/>
  <c r="D37" i="3"/>
  <c r="K37" i="3" s="1"/>
  <c r="D36" i="3"/>
  <c r="D35" i="3"/>
  <c r="D34" i="3"/>
  <c r="D32" i="3"/>
  <c r="D30" i="3"/>
  <c r="D29" i="3"/>
  <c r="D26" i="3"/>
  <c r="K26" i="3" s="1"/>
  <c r="L25" i="3"/>
  <c r="M25" i="3" s="1"/>
  <c r="J25" i="3"/>
  <c r="D25" i="3"/>
  <c r="K25" i="3" s="1"/>
  <c r="L24" i="3"/>
  <c r="M24" i="3" s="1"/>
  <c r="J24" i="3"/>
  <c r="D24" i="3"/>
  <c r="K24" i="3" s="1"/>
  <c r="L23" i="3"/>
  <c r="M23" i="3" s="1"/>
  <c r="J23" i="3"/>
  <c r="D23" i="3"/>
  <c r="K23" i="3" s="1"/>
  <c r="L22" i="3"/>
  <c r="M22" i="3" s="1"/>
  <c r="J22" i="3"/>
  <c r="D22" i="3"/>
  <c r="K22" i="3" s="1"/>
  <c r="L21" i="3"/>
  <c r="M21" i="3" s="1"/>
  <c r="J21" i="3"/>
  <c r="D21" i="3"/>
  <c r="K21" i="3" s="1"/>
  <c r="L20" i="3"/>
  <c r="M20" i="3" s="1"/>
  <c r="J20" i="3"/>
  <c r="D20" i="3"/>
  <c r="K20" i="3" s="1"/>
  <c r="L19" i="3"/>
  <c r="M19" i="3" s="1"/>
  <c r="J19" i="3"/>
  <c r="D19" i="3"/>
  <c r="K19" i="3" s="1"/>
  <c r="L18" i="3"/>
  <c r="M18" i="3" s="1"/>
  <c r="J18" i="3"/>
  <c r="D18" i="3"/>
  <c r="K18" i="3" s="1"/>
  <c r="L17" i="3"/>
  <c r="M17" i="3" s="1"/>
  <c r="J17" i="3"/>
  <c r="F17" i="3"/>
  <c r="Y17" i="3" s="1"/>
  <c r="L16" i="3"/>
  <c r="M16" i="3" s="1"/>
  <c r="J16" i="3"/>
  <c r="D16" i="3"/>
  <c r="K16" i="3" s="1"/>
  <c r="L15" i="3"/>
  <c r="M15" i="3" s="1"/>
  <c r="J15" i="3"/>
  <c r="D15" i="3"/>
  <c r="K15" i="3" s="1"/>
  <c r="L14" i="3"/>
  <c r="M14" i="3" s="1"/>
  <c r="J14" i="3"/>
  <c r="D14" i="3"/>
  <c r="K14" i="3" s="1"/>
  <c r="L13" i="3"/>
  <c r="M13" i="3" s="1"/>
  <c r="J13" i="3"/>
  <c r="D13" i="3"/>
  <c r="K13" i="3" s="1"/>
  <c r="L12" i="3"/>
  <c r="M12" i="3" s="1"/>
  <c r="J12" i="3"/>
  <c r="D12" i="3"/>
  <c r="K12" i="3" s="1"/>
  <c r="L11" i="3"/>
  <c r="M11" i="3" s="1"/>
  <c r="J11" i="3"/>
  <c r="D11" i="3"/>
  <c r="K11" i="3" s="1"/>
  <c r="L10" i="3"/>
  <c r="M10" i="3" s="1"/>
  <c r="J10" i="3"/>
  <c r="D10" i="3"/>
  <c r="K10" i="3" s="1"/>
  <c r="L6" i="3"/>
  <c r="M6" i="3" s="1"/>
  <c r="J6" i="3"/>
  <c r="D6" i="3"/>
  <c r="K6" i="3" s="1"/>
  <c r="O5" i="3"/>
  <c r="L5" i="3"/>
  <c r="M5" i="3" s="1"/>
  <c r="J5" i="3"/>
  <c r="D5" i="3"/>
  <c r="K5" i="3" s="1"/>
  <c r="F4" i="3"/>
  <c r="Y4" i="3" s="1"/>
  <c r="Z3" i="3"/>
  <c r="AD2" i="3" s="1"/>
  <c r="L3" i="3"/>
  <c r="M3" i="3" s="1"/>
  <c r="J3" i="3"/>
  <c r="D3" i="3"/>
  <c r="Z4" i="1"/>
  <c r="I35" i="1"/>
  <c r="F35" i="1"/>
  <c r="I14" i="1"/>
  <c r="M14" i="1"/>
  <c r="F14" i="1"/>
  <c r="J14" i="1"/>
  <c r="L14" i="1"/>
  <c r="I4" i="1"/>
  <c r="F4" i="1"/>
  <c r="Z35" i="1"/>
  <c r="Z14" i="1"/>
  <c r="F32" i="3" l="1"/>
  <c r="Y32" i="3" s="1"/>
  <c r="K32" i="3"/>
  <c r="F35" i="3"/>
  <c r="Y35" i="3" s="1"/>
  <c r="K35" i="3"/>
  <c r="F34" i="3"/>
  <c r="Y34" i="3" s="1"/>
  <c r="K34" i="3"/>
  <c r="K3" i="3"/>
  <c r="F3" i="3"/>
  <c r="Y3" i="3" s="1"/>
  <c r="F29" i="3"/>
  <c r="Y29" i="3" s="1"/>
  <c r="K29" i="3"/>
  <c r="F36" i="3"/>
  <c r="Y36" i="3" s="1"/>
  <c r="K36" i="3"/>
  <c r="F30" i="3"/>
  <c r="Y30" i="3" s="1"/>
  <c r="K30" i="3"/>
  <c r="F25" i="3"/>
  <c r="Y25" i="3" s="1"/>
  <c r="F45" i="3"/>
  <c r="Y45" i="3" s="1"/>
  <c r="F14" i="3"/>
  <c r="Y14" i="3" s="1"/>
  <c r="F21" i="3"/>
  <c r="Y21" i="3" s="1"/>
  <c r="F49" i="3"/>
  <c r="Y49" i="3" s="1"/>
  <c r="F16" i="3"/>
  <c r="Y16" i="3" s="1"/>
  <c r="F19" i="3"/>
  <c r="Y19" i="3" s="1"/>
  <c r="F43" i="3"/>
  <c r="Y43" i="3" s="1"/>
  <c r="F51" i="3"/>
  <c r="Y51" i="3" s="1"/>
  <c r="F23" i="3"/>
  <c r="Y23" i="3" s="1"/>
  <c r="F38" i="3"/>
  <c r="Y38" i="3" s="1"/>
  <c r="F47" i="3"/>
  <c r="Y47" i="3" s="1"/>
  <c r="F13" i="3"/>
  <c r="Y13" i="3" s="1"/>
  <c r="F18" i="3"/>
  <c r="Y18" i="3" s="1"/>
  <c r="F20" i="3"/>
  <c r="Y20" i="3" s="1"/>
  <c r="F22" i="3"/>
  <c r="Y22" i="3" s="1"/>
  <c r="F24" i="3"/>
  <c r="Y24" i="3" s="1"/>
  <c r="F26" i="3"/>
  <c r="Y26" i="3" s="1"/>
  <c r="F6" i="3"/>
  <c r="Y6" i="3" s="1"/>
  <c r="F11" i="3"/>
  <c r="Y11" i="3" s="1"/>
  <c r="F10" i="3"/>
  <c r="Y10" i="3" s="1"/>
  <c r="F12" i="3"/>
  <c r="Y12" i="3" s="1"/>
  <c r="F37" i="3"/>
  <c r="Y37" i="3" s="1"/>
  <c r="F39" i="3"/>
  <c r="Y39" i="3" s="1"/>
  <c r="F42" i="3"/>
  <c r="Y42" i="3" s="1"/>
  <c r="F44" i="3"/>
  <c r="Y44" i="3" s="1"/>
  <c r="F46" i="3"/>
  <c r="Y46" i="3" s="1"/>
  <c r="F50" i="3"/>
  <c r="Y50" i="3" s="1"/>
  <c r="F15" i="3"/>
  <c r="Y15" i="3" s="1"/>
  <c r="M2" i="3"/>
  <c r="O3" i="3" s="1"/>
  <c r="F5" i="3"/>
  <c r="Y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<sst xmlns="http://schemas.openxmlformats.org/spreadsheetml/2006/main" count="119621" uniqueCount="9034">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</sst>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11</xdr:row>
          <xdr:rowOff>19050</xdr:rowOff>
        </xdr:from>
        <xdr:to>
          <xdr:col>28</xdr:col>
          <xdr:colOff>209550</xdr:colOff>
          <xdr:row>13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447675</xdr:colOff>
          <xdr:row>6</xdr:row>
          <xdr:rowOff>133350</xdr:rowOff>
        </xdr:from>
        <xdr:to>
          <xdr:col>28</xdr:col>
          <xdr:colOff>257175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457200</xdr:colOff>
          <xdr:row>4</xdr:row>
          <xdr:rowOff>142875</xdr:rowOff>
        </xdr:from>
        <xdr:to>
          <xdr:col>28</xdr:col>
          <xdr:colOff>285750</xdr:colOff>
          <xdr:row>6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13</xdr:row>
          <xdr:rowOff>114300</xdr:rowOff>
        </xdr:from>
        <xdr:to>
          <xdr:col>28</xdr:col>
          <xdr:colOff>247650</xdr:colOff>
          <xdr:row>15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523875</xdr:colOff>
          <xdr:row>0</xdr:row>
          <xdr:rowOff>114300</xdr:rowOff>
        </xdr:from>
        <xdr:to>
          <xdr:col>28</xdr:col>
          <xdr:colOff>190500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815"/>
  <sheetViews>
    <sheetView tabSelected="1" topLeftCell="A20" zoomScale="130" zoomScaleNormal="130" workbookViewId="0">
      <selection activeCell="H3" sqref="H3:H52"/>
    </sheetView>
  </sheetViews>
  <sheetFormatPr defaultRowHeight="13.5" x14ac:dyDescent="0.15"/>
  <cols>
    <col min="2" max="2" width="43.875" bestFit="1" customWidth="1"/>
    <col min="3" max="3" width="9.25" bestFit="1" customWidth="1"/>
    <col min="6" max="6" width="9" customWidth="1"/>
    <col min="8" max="8" width="13.875" bestFit="1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30" x14ac:dyDescent="0.15">
      <c r="P1"/>
      <c r="V1" s="4" t="s">
        <v>9011</v>
      </c>
      <c r="W1">
        <f>SUM(V3:V52)</f>
        <v>9.9999999999993427E-3</v>
      </c>
      <c r="Y1" t="s">
        <v>8852</v>
      </c>
      <c r="AD1" t="s">
        <v>9012</v>
      </c>
    </row>
    <row r="2" spans="1:30" x14ac:dyDescent="0.15">
      <c r="A2" t="s">
        <v>8997</v>
      </c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 t="e">
        <f>SUM(L3:L51)</f>
        <v>#N/A</v>
      </c>
      <c r="P2"/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  <c r="AD2">
        <f>SUM(Z3:Z52)</f>
        <v>100.02000000000002</v>
      </c>
    </row>
    <row r="3" spans="1:30" x14ac:dyDescent="0.15">
      <c r="A3" t="str">
        <f>E3</f>
        <v>601288</v>
      </c>
      <c r="B3" s="10" t="s">
        <v>8998</v>
      </c>
      <c r="C3" s="11" t="str">
        <f>VLOOKUP(A3,'Backup Dec6'!A:C,3,0)</f>
        <v>农业银行</v>
      </c>
      <c r="D3" t="str">
        <f>IF(LEFT(E3,1)="6","sh","sz")</f>
        <v>sh</v>
      </c>
      <c r="E3" s="2" t="s">
        <v>12</v>
      </c>
      <c r="F3" s="6" t="str">
        <f t="shared" ref="F3:F51" si="0">D3&amp;E3</f>
        <v>sh601288</v>
      </c>
      <c r="G3" s="5">
        <v>2.86</v>
      </c>
      <c r="H3" s="5">
        <f>IF(ISNA(VLOOKUP(B3,Sheet1!A:B,2,0)),0,VLOOKUP(B3,Sheet1!A:B,2,0))</f>
        <v>2.84</v>
      </c>
      <c r="I3">
        <f t="shared" ref="I3:I25" si="1">+H3-G3</f>
        <v>-2.0000000000000018E-2</v>
      </c>
      <c r="J3" t="str">
        <f>VLOOKUP(E3,P:Q,2,0)</f>
        <v>农业银行</v>
      </c>
      <c r="K3" t="str">
        <f>D3&amp;E3</f>
        <v>sh601288</v>
      </c>
      <c r="L3" t="str">
        <f>VLOOKUP(E3,P:S,4,0)</f>
        <v>-1.60</v>
      </c>
      <c r="M3" s="3">
        <f>G3*L3/100</f>
        <v>-4.5759999999999995E-2</v>
      </c>
      <c r="N3">
        <v>9573.67</v>
      </c>
      <c r="O3" t="e">
        <f>+N3*(100+M2)/100</f>
        <v>#N/A</v>
      </c>
      <c r="P3"/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>
        <f>H3-G3</f>
        <v>-2.0000000000000018E-2</v>
      </c>
      <c r="Y3" s="6" t="str">
        <f>+F3</f>
        <v>sh601288</v>
      </c>
      <c r="Z3" s="5">
        <f>H3</f>
        <v>2.84</v>
      </c>
    </row>
    <row r="4" spans="1:30" x14ac:dyDescent="0.15">
      <c r="A4" t="str">
        <f t="shared" ref="A4:A52" si="2">E4</f>
        <v>601169</v>
      </c>
      <c r="B4" s="10" t="s">
        <v>8999</v>
      </c>
      <c r="C4" s="11" t="str">
        <f>VLOOKUP(A4,'Backup Dec6'!A:C,3,0)</f>
        <v>北京银行</v>
      </c>
      <c r="D4" t="s">
        <v>8905</v>
      </c>
      <c r="E4" s="2" t="s">
        <v>8995</v>
      </c>
      <c r="F4" s="6" t="str">
        <f t="shared" si="0"/>
        <v>sh601169</v>
      </c>
      <c r="G4" s="5">
        <v>2.27</v>
      </c>
      <c r="H4" s="5">
        <f>IF(ISNA(VLOOKUP(B4,Sheet1!A:B,2,0)),0,VLOOKUP(B4,Sheet1!A:B,2,0))</f>
        <v>2.2599999999999998</v>
      </c>
      <c r="I4">
        <f t="shared" si="1"/>
        <v>-1.0000000000000231E-2</v>
      </c>
      <c r="M4" s="3"/>
      <c r="P4"/>
      <c r="Q4" s="1"/>
      <c r="R4" s="1"/>
      <c r="S4" s="1"/>
      <c r="T4" s="1"/>
      <c r="U4" s="1"/>
      <c r="V4" s="1">
        <f t="shared" ref="V4:V40" si="3">H4-G4</f>
        <v>-1.0000000000000231E-2</v>
      </c>
      <c r="Y4" s="6" t="str">
        <f t="shared" ref="Y4:Y52" si="4">+F4</f>
        <v>sh601169</v>
      </c>
      <c r="Z4" s="5">
        <f t="shared" ref="Z4:Z26" si="5">H4</f>
        <v>2.2599999999999998</v>
      </c>
    </row>
    <row r="5" spans="1:30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t="str">
        <f t="shared" ref="D5:D51" si="6">IF(LEFT(E5,1)="6","sh","sz")</f>
        <v>sh</v>
      </c>
      <c r="E5" t="s">
        <v>20</v>
      </c>
      <c r="F5" s="6" t="str">
        <f t="shared" si="0"/>
        <v>sh601988</v>
      </c>
      <c r="G5" s="5">
        <v>1.79</v>
      </c>
      <c r="H5" s="5">
        <f>IF(ISNA(VLOOKUP(B5,Sheet1!A:B,2,0)),0,VLOOKUP(B5,Sheet1!A:B,2,0))</f>
        <v>1.78</v>
      </c>
      <c r="I5">
        <f t="shared" si="1"/>
        <v>-1.0000000000000009E-2</v>
      </c>
      <c r="J5" t="str">
        <f>VLOOKUP(E5,P:Q,2,0)</f>
        <v>中国银行</v>
      </c>
      <c r="K5" t="str">
        <f t="shared" ref="K5:K16" si="7">D5&amp;E5</f>
        <v>sh601988</v>
      </c>
      <c r="L5" t="str">
        <f>VLOOKUP(E5,P:S,4,0)</f>
        <v>-3.06</v>
      </c>
      <c r="M5" s="3">
        <f t="shared" ref="M5:M25" si="8">G5*L5/100</f>
        <v>-5.4774000000000003E-2</v>
      </c>
      <c r="N5">
        <v>9314.27</v>
      </c>
      <c r="O5">
        <f>+N5/N3-1</f>
        <v>-2.709514741995489E-2</v>
      </c>
      <c r="P5"/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>
        <f t="shared" si="3"/>
        <v>-1.0000000000000009E-2</v>
      </c>
      <c r="Y5" s="6" t="str">
        <f t="shared" si="4"/>
        <v>sh601988</v>
      </c>
      <c r="Z5" s="5">
        <f t="shared" si="5"/>
        <v>1.78</v>
      </c>
    </row>
    <row r="6" spans="1:30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t="str">
        <f t="shared" si="6"/>
        <v>sh</v>
      </c>
      <c r="E6" t="s">
        <v>28</v>
      </c>
      <c r="F6" s="6" t="str">
        <f t="shared" si="0"/>
        <v>sh601328</v>
      </c>
      <c r="G6" s="5">
        <v>2.83</v>
      </c>
      <c r="H6" s="5">
        <f>IF(ISNA(VLOOKUP(B6,Sheet1!A:B,2,0)),0,VLOOKUP(B6,Sheet1!A:B,2,0))</f>
        <v>2.82</v>
      </c>
      <c r="I6">
        <f t="shared" si="1"/>
        <v>-1.0000000000000231E-2</v>
      </c>
      <c r="J6" t="str">
        <f>VLOOKUP(E6,P:Q,2,0)</f>
        <v>交通银行</v>
      </c>
      <c r="K6" t="str">
        <f t="shared" si="7"/>
        <v>sh601328</v>
      </c>
      <c r="L6" t="str">
        <f>VLOOKUP(E6,P:S,4,0)</f>
        <v>-3.47</v>
      </c>
      <c r="M6" s="3">
        <f t="shared" si="8"/>
        <v>-9.8200999999999997E-2</v>
      </c>
      <c r="O6">
        <v>9314.24</v>
      </c>
      <c r="P6"/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>
        <f t="shared" si="3"/>
        <v>-1.0000000000000231E-2</v>
      </c>
      <c r="Y6" s="6" t="str">
        <f t="shared" si="4"/>
        <v>sh601328</v>
      </c>
      <c r="Z6" s="5">
        <f t="shared" si="5"/>
        <v>2.82</v>
      </c>
    </row>
    <row r="7" spans="1:30" x14ac:dyDescent="0.15">
      <c r="A7" t="str">
        <f>E7</f>
        <v>601229</v>
      </c>
      <c r="B7" s="10" t="s">
        <v>9013</v>
      </c>
      <c r="C7" t="s">
        <v>9017</v>
      </c>
      <c r="D7" t="s">
        <v>9019</v>
      </c>
      <c r="E7" s="2" t="s">
        <v>9015</v>
      </c>
      <c r="F7" s="6" t="str">
        <f>D7&amp;E7</f>
        <v>sh601229</v>
      </c>
      <c r="G7" s="5">
        <v>0.35</v>
      </c>
      <c r="H7" s="5">
        <f>IF(ISNA(VLOOKUP(B7,Sheet1!A:B,2,0)),0,VLOOKUP(B7,Sheet1!A:B,2,0))</f>
        <v>0.36</v>
      </c>
      <c r="I7">
        <f>+H7-G7</f>
        <v>1.0000000000000009E-2</v>
      </c>
      <c r="J7" t="e">
        <f>VLOOKUP(E7,P:Q,2,0)</f>
        <v>#N/A</v>
      </c>
      <c r="K7" t="str">
        <f>D7&amp;E7</f>
        <v>sh601229</v>
      </c>
      <c r="L7" t="e">
        <f>VLOOKUP(E7,P:S,4,0)</f>
        <v>#N/A</v>
      </c>
      <c r="M7" s="3" t="e">
        <f>G7*L7/100</f>
        <v>#N/A</v>
      </c>
      <c r="P7"/>
      <c r="Q7" s="1" t="s">
        <v>147</v>
      </c>
      <c r="R7" s="1" t="s">
        <v>148</v>
      </c>
      <c r="S7" s="1" t="s">
        <v>149</v>
      </c>
      <c r="T7" s="1" t="s">
        <v>150</v>
      </c>
      <c r="U7" s="1" t="s">
        <v>151</v>
      </c>
      <c r="V7" s="1">
        <f t="shared" si="3"/>
        <v>1.0000000000000009E-2</v>
      </c>
      <c r="Y7" s="6" t="str">
        <f>+F7</f>
        <v>sh601229</v>
      </c>
      <c r="Z7" s="5">
        <f>H7</f>
        <v>0.36</v>
      </c>
    </row>
    <row r="8" spans="1:30" x14ac:dyDescent="0.15">
      <c r="A8" t="str">
        <f t="shared" ref="A8:A9" si="9">E8</f>
        <v>600019</v>
      </c>
      <c r="B8" s="10" t="s">
        <v>9021</v>
      </c>
      <c r="C8" t="s">
        <v>9025</v>
      </c>
      <c r="D8" t="s">
        <v>9026</v>
      </c>
      <c r="E8" s="2" t="s">
        <v>9024</v>
      </c>
      <c r="F8" s="6" t="str">
        <f t="shared" ref="F8:F9" si="10">D8&amp;E8</f>
        <v>sh600019</v>
      </c>
      <c r="G8" s="5">
        <v>0.8</v>
      </c>
      <c r="H8" s="5">
        <f>IF(ISNA(VLOOKUP(B8,Sheet1!A:B,2,0)),0,VLOOKUP(B8,Sheet1!A:B,2,0))</f>
        <v>0.8</v>
      </c>
      <c r="M8" s="3"/>
      <c r="P8"/>
      <c r="Q8" s="1"/>
      <c r="R8" s="1"/>
      <c r="S8" s="1"/>
      <c r="T8" s="1"/>
      <c r="U8" s="1"/>
      <c r="V8" s="1">
        <f t="shared" si="3"/>
        <v>0</v>
      </c>
      <c r="Y8" s="6" t="str">
        <f t="shared" ref="Y8:Y9" si="11">+F8</f>
        <v>sh600019</v>
      </c>
      <c r="Z8" s="5">
        <f t="shared" ref="Z8:Z9" si="12">H8</f>
        <v>0.8</v>
      </c>
    </row>
    <row r="9" spans="1:30" x14ac:dyDescent="0.15">
      <c r="A9" t="str">
        <f t="shared" si="9"/>
        <v>000725</v>
      </c>
      <c r="B9" s="10" t="s">
        <v>9022</v>
      </c>
      <c r="C9" t="s">
        <v>9029</v>
      </c>
      <c r="D9" t="s">
        <v>9028</v>
      </c>
      <c r="E9" s="2" t="s">
        <v>9027</v>
      </c>
      <c r="F9" s="6" t="str">
        <f t="shared" si="10"/>
        <v>sz000725</v>
      </c>
      <c r="G9" s="5">
        <v>2</v>
      </c>
      <c r="H9" s="5">
        <f>IF(ISNA(VLOOKUP(B9,Sheet1!A:B,2,0)),0,VLOOKUP(B9,Sheet1!A:B,2,0))</f>
        <v>1.98</v>
      </c>
      <c r="M9" s="3"/>
      <c r="P9"/>
      <c r="Q9" s="1"/>
      <c r="R9" s="1"/>
      <c r="S9" s="1"/>
      <c r="T9" s="1"/>
      <c r="U9" s="1"/>
      <c r="V9" s="1">
        <f t="shared" si="3"/>
        <v>-2.0000000000000018E-2</v>
      </c>
      <c r="Y9" s="6" t="str">
        <f t="shared" si="11"/>
        <v>sz000725</v>
      </c>
      <c r="Z9" s="5">
        <f t="shared" si="12"/>
        <v>1.98</v>
      </c>
    </row>
    <row r="10" spans="1:30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t="str">
        <f t="shared" si="6"/>
        <v>sz</v>
      </c>
      <c r="E10" s="2" t="s">
        <v>36</v>
      </c>
      <c r="F10" s="6" t="str">
        <f t="shared" si="0"/>
        <v>sz002594</v>
      </c>
      <c r="G10" s="5">
        <v>0.65</v>
      </c>
      <c r="H10" s="5">
        <f>IF(ISNA(VLOOKUP(B10,Sheet1!A:B,2,0)),0,VLOOKUP(B10,Sheet1!A:B,2,0))</f>
        <v>0.65</v>
      </c>
      <c r="I10">
        <f t="shared" si="1"/>
        <v>0</v>
      </c>
      <c r="J10" t="str">
        <f t="shared" ref="J10:J39" si="13">VLOOKUP(E10,P:Q,2,0)</f>
        <v>比亚迪</v>
      </c>
      <c r="K10" t="str">
        <f t="shared" si="7"/>
        <v>sz002594</v>
      </c>
      <c r="L10" t="str">
        <f t="shared" ref="L10:L39" si="14">VLOOKUP(E10,P:S,4,0)</f>
        <v>-3.09</v>
      </c>
      <c r="M10" s="3">
        <f t="shared" si="8"/>
        <v>-2.0085000000000002E-2</v>
      </c>
      <c r="P10"/>
      <c r="Q10" s="1" t="s">
        <v>37</v>
      </c>
      <c r="R10" s="1" t="s">
        <v>38</v>
      </c>
      <c r="S10" s="1" t="s">
        <v>39</v>
      </c>
      <c r="T10" s="1" t="s">
        <v>40</v>
      </c>
      <c r="U10" s="1" t="s">
        <v>41</v>
      </c>
      <c r="V10" s="1">
        <f t="shared" si="3"/>
        <v>0</v>
      </c>
      <c r="Y10" s="6" t="str">
        <f t="shared" si="4"/>
        <v>sz002594</v>
      </c>
      <c r="Z10" s="5">
        <f t="shared" si="5"/>
        <v>0.65</v>
      </c>
    </row>
    <row r="11" spans="1:30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t="str">
        <f t="shared" si="6"/>
        <v>sh</v>
      </c>
      <c r="E11" t="s">
        <v>44</v>
      </c>
      <c r="F11" s="6" t="str">
        <f t="shared" si="0"/>
        <v>sh601998</v>
      </c>
      <c r="G11" s="5">
        <v>0.39</v>
      </c>
      <c r="H11" s="5">
        <f>IF(ISNA(VLOOKUP(B11,Sheet1!A:B,2,0)),0,VLOOKUP(B11,Sheet1!A:B,2,0))</f>
        <v>0.39</v>
      </c>
      <c r="I11">
        <f t="shared" si="1"/>
        <v>0</v>
      </c>
      <c r="J11" t="str">
        <f t="shared" si="13"/>
        <v>中信银行</v>
      </c>
      <c r="K11" t="str">
        <f t="shared" si="7"/>
        <v>sh601998</v>
      </c>
      <c r="L11" t="str">
        <f t="shared" si="14"/>
        <v>-4.59</v>
      </c>
      <c r="M11" s="3">
        <f t="shared" si="8"/>
        <v>-1.7901E-2</v>
      </c>
      <c r="P11"/>
      <c r="Q11" s="1" t="s">
        <v>45</v>
      </c>
      <c r="R11" s="1" t="s">
        <v>46</v>
      </c>
      <c r="S11" s="1" t="s">
        <v>47</v>
      </c>
      <c r="T11" s="1" t="s">
        <v>48</v>
      </c>
      <c r="U11" s="1" t="s">
        <v>49</v>
      </c>
      <c r="V11" s="1">
        <f t="shared" si="3"/>
        <v>0</v>
      </c>
      <c r="Y11" s="6" t="str">
        <f t="shared" si="4"/>
        <v>sh601998</v>
      </c>
      <c r="Z11" s="5">
        <f t="shared" si="5"/>
        <v>0.39</v>
      </c>
    </row>
    <row r="12" spans="1:30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t="str">
        <f t="shared" si="6"/>
        <v>sh</v>
      </c>
      <c r="E12" t="s">
        <v>52</v>
      </c>
      <c r="F12" s="6" t="str">
        <f t="shared" si="0"/>
        <v>sh601800</v>
      </c>
      <c r="G12" s="5">
        <v>0.5</v>
      </c>
      <c r="H12" s="5">
        <f>IF(ISNA(VLOOKUP(B12,Sheet1!A:B,2,0)),0,VLOOKUP(B12,Sheet1!A:B,2,0))</f>
        <v>0.52</v>
      </c>
      <c r="I12">
        <f t="shared" si="1"/>
        <v>2.0000000000000018E-2</v>
      </c>
      <c r="J12" t="str">
        <f t="shared" si="13"/>
        <v>中国交建</v>
      </c>
      <c r="K12" t="str">
        <f t="shared" si="7"/>
        <v>sh601800</v>
      </c>
      <c r="L12" t="str">
        <f t="shared" si="14"/>
        <v>-5.17</v>
      </c>
      <c r="M12" s="3">
        <f t="shared" si="8"/>
        <v>-2.5849999999999998E-2</v>
      </c>
      <c r="P12"/>
      <c r="Q12" s="1" t="s">
        <v>53</v>
      </c>
      <c r="R12" s="1" t="s">
        <v>54</v>
      </c>
      <c r="S12" s="1" t="s">
        <v>55</v>
      </c>
      <c r="T12" s="1" t="s">
        <v>56</v>
      </c>
      <c r="U12" s="1" t="s">
        <v>57</v>
      </c>
      <c r="V12" s="1">
        <f t="shared" si="3"/>
        <v>2.0000000000000018E-2</v>
      </c>
      <c r="Y12" s="6" t="str">
        <f t="shared" si="4"/>
        <v>sh601800</v>
      </c>
      <c r="Z12" s="5">
        <f t="shared" si="5"/>
        <v>0.52</v>
      </c>
    </row>
    <row r="13" spans="1:30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t="str">
        <f t="shared" si="6"/>
        <v>sh</v>
      </c>
      <c r="E13" t="s">
        <v>60</v>
      </c>
      <c r="F13" s="6" t="str">
        <f t="shared" si="0"/>
        <v>sh601939</v>
      </c>
      <c r="G13" s="5">
        <v>1.32</v>
      </c>
      <c r="H13" s="5">
        <f>IF(ISNA(VLOOKUP(B13,Sheet1!A:B,2,0)),0,VLOOKUP(B13,Sheet1!A:B,2,0))</f>
        <v>1.32</v>
      </c>
      <c r="I13">
        <f t="shared" si="1"/>
        <v>0</v>
      </c>
      <c r="J13" t="str">
        <f t="shared" si="13"/>
        <v>建设银行</v>
      </c>
      <c r="K13" t="str">
        <f t="shared" si="7"/>
        <v>sh601939</v>
      </c>
      <c r="L13" t="str">
        <f t="shared" si="14"/>
        <v>-2.30</v>
      </c>
      <c r="M13" s="3">
        <f t="shared" si="8"/>
        <v>-3.0360000000000002E-2</v>
      </c>
      <c r="P13"/>
      <c r="Q13" s="1" t="s">
        <v>61</v>
      </c>
      <c r="R13" s="1" t="s">
        <v>62</v>
      </c>
      <c r="S13" s="1" t="s">
        <v>63</v>
      </c>
      <c r="T13" s="1" t="s">
        <v>64</v>
      </c>
      <c r="U13" s="1" t="s">
        <v>65</v>
      </c>
      <c r="V13" s="1">
        <f t="shared" si="3"/>
        <v>0</v>
      </c>
      <c r="Y13" s="6" t="str">
        <f t="shared" si="4"/>
        <v>sh601939</v>
      </c>
      <c r="Z13" s="5">
        <f t="shared" si="5"/>
        <v>1.32</v>
      </c>
    </row>
    <row r="14" spans="1:30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t="str">
        <f t="shared" si="6"/>
        <v>sh</v>
      </c>
      <c r="E14" t="s">
        <v>68</v>
      </c>
      <c r="F14" s="6" t="str">
        <f t="shared" si="0"/>
        <v>sh601818</v>
      </c>
      <c r="G14" s="5">
        <v>1.29</v>
      </c>
      <c r="H14" s="5">
        <f>IF(ISNA(VLOOKUP(B14,Sheet1!A:B,2,0)),0,VLOOKUP(B14,Sheet1!A:B,2,0))</f>
        <v>1.29</v>
      </c>
      <c r="I14">
        <f t="shared" si="1"/>
        <v>0</v>
      </c>
      <c r="J14" t="str">
        <f t="shared" si="13"/>
        <v>光大银行</v>
      </c>
      <c r="K14" t="str">
        <f t="shared" si="7"/>
        <v>sh601818</v>
      </c>
      <c r="L14" t="str">
        <f t="shared" si="14"/>
        <v>-3.39</v>
      </c>
      <c r="M14" s="3">
        <f t="shared" si="8"/>
        <v>-4.3730999999999999E-2</v>
      </c>
      <c r="P14"/>
      <c r="Q14" s="1" t="s">
        <v>69</v>
      </c>
      <c r="R14" s="1" t="s">
        <v>70</v>
      </c>
      <c r="S14" s="1" t="s">
        <v>71</v>
      </c>
      <c r="T14" s="1" t="s">
        <v>72</v>
      </c>
      <c r="U14" s="1" t="s">
        <v>73</v>
      </c>
      <c r="V14" s="1">
        <f t="shared" si="3"/>
        <v>0</v>
      </c>
      <c r="Y14" s="6" t="str">
        <f t="shared" si="4"/>
        <v>sh601818</v>
      </c>
      <c r="Z14" s="5">
        <f t="shared" si="5"/>
        <v>1.29</v>
      </c>
    </row>
    <row r="15" spans="1:30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t="str">
        <f t="shared" si="6"/>
        <v>sh</v>
      </c>
      <c r="E15" t="s">
        <v>76</v>
      </c>
      <c r="F15" s="6" t="str">
        <f t="shared" si="0"/>
        <v>sh601628</v>
      </c>
      <c r="G15" s="5">
        <v>0.93</v>
      </c>
      <c r="H15" s="5">
        <f>IF(ISNA(VLOOKUP(B15,Sheet1!A:B,2,0)),0,VLOOKUP(B15,Sheet1!A:B,2,0))</f>
        <v>0.91</v>
      </c>
      <c r="I15">
        <f t="shared" si="1"/>
        <v>-2.0000000000000018E-2</v>
      </c>
      <c r="J15" t="str">
        <f t="shared" si="13"/>
        <v>中国人寿</v>
      </c>
      <c r="K15" t="str">
        <f t="shared" si="7"/>
        <v>sh601628</v>
      </c>
      <c r="L15" t="str">
        <f t="shared" si="14"/>
        <v>-1.90</v>
      </c>
      <c r="M15" s="3">
        <f t="shared" si="8"/>
        <v>-1.7669999999999998E-2</v>
      </c>
      <c r="P15"/>
      <c r="Q15" s="1" t="s">
        <v>77</v>
      </c>
      <c r="R15" s="1" t="s">
        <v>78</v>
      </c>
      <c r="S15" s="1" t="s">
        <v>79</v>
      </c>
      <c r="T15" s="1" t="s">
        <v>80</v>
      </c>
      <c r="U15" s="1" t="s">
        <v>81</v>
      </c>
      <c r="V15" s="1">
        <f t="shared" si="3"/>
        <v>-2.0000000000000018E-2</v>
      </c>
      <c r="Y15" s="6" t="str">
        <f t="shared" si="4"/>
        <v>sh601628</v>
      </c>
      <c r="Z15" s="5">
        <f t="shared" si="5"/>
        <v>0.91</v>
      </c>
    </row>
    <row r="16" spans="1:30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t="str">
        <f t="shared" si="6"/>
        <v>sh</v>
      </c>
      <c r="E16" t="s">
        <v>84</v>
      </c>
      <c r="F16" s="6" t="str">
        <f t="shared" si="0"/>
        <v>sh600036</v>
      </c>
      <c r="G16" s="5">
        <v>6.28</v>
      </c>
      <c r="H16" s="5">
        <f>IF(ISNA(VLOOKUP(B16,Sheet1!A:B,2,0)),0,VLOOKUP(B16,Sheet1!A:B,2,0))</f>
        <v>6.61</v>
      </c>
      <c r="I16">
        <f t="shared" si="1"/>
        <v>0.33000000000000007</v>
      </c>
      <c r="J16" t="str">
        <f t="shared" si="13"/>
        <v>招商银行</v>
      </c>
      <c r="K16" t="str">
        <f t="shared" si="7"/>
        <v>sh600036</v>
      </c>
      <c r="L16" t="str">
        <f t="shared" si="14"/>
        <v>-2.58</v>
      </c>
      <c r="M16" s="3">
        <f t="shared" si="8"/>
        <v>-0.162024</v>
      </c>
      <c r="P16"/>
      <c r="Q16" s="1" t="s">
        <v>85</v>
      </c>
      <c r="R16" s="1" t="s">
        <v>86</v>
      </c>
      <c r="S16" s="1" t="s">
        <v>87</v>
      </c>
      <c r="T16" s="1" t="s">
        <v>88</v>
      </c>
      <c r="U16" s="1" t="s">
        <v>89</v>
      </c>
      <c r="V16" s="1">
        <f t="shared" si="3"/>
        <v>0.33000000000000007</v>
      </c>
      <c r="Y16" s="6" t="str">
        <f t="shared" si="4"/>
        <v>sh600036</v>
      </c>
      <c r="Z16" s="5">
        <f t="shared" si="5"/>
        <v>6.61</v>
      </c>
    </row>
    <row r="17" spans="1:28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t="s">
        <v>8908</v>
      </c>
      <c r="E17" s="2" t="s">
        <v>8910</v>
      </c>
      <c r="F17" s="6" t="str">
        <f t="shared" si="0"/>
        <v>sz001979</v>
      </c>
      <c r="G17" s="5">
        <v>1.05</v>
      </c>
      <c r="H17" s="5">
        <f>IF(ISNA(VLOOKUP(B17,Sheet1!A:B,2,0)),0,VLOOKUP(B17,Sheet1!A:B,2,0))</f>
        <v>1.05</v>
      </c>
      <c r="I17">
        <f t="shared" si="1"/>
        <v>0</v>
      </c>
      <c r="J17" t="e">
        <f t="shared" si="13"/>
        <v>#N/A</v>
      </c>
      <c r="L17" t="e">
        <f t="shared" si="14"/>
        <v>#N/A</v>
      </c>
      <c r="M17" s="3" t="e">
        <f t="shared" si="8"/>
        <v>#N/A</v>
      </c>
      <c r="P17"/>
      <c r="Q17" s="1"/>
      <c r="R17" s="1"/>
      <c r="S17" s="1"/>
      <c r="T17" s="1"/>
      <c r="U17" s="1"/>
      <c r="V17" s="1">
        <f t="shared" si="3"/>
        <v>0</v>
      </c>
      <c r="Y17" s="6" t="str">
        <f t="shared" si="4"/>
        <v>sz001979</v>
      </c>
      <c r="Z17" s="5">
        <f t="shared" si="5"/>
        <v>1.05</v>
      </c>
    </row>
    <row r="18" spans="1:28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t="str">
        <f t="shared" si="6"/>
        <v>sh</v>
      </c>
      <c r="E18" t="s">
        <v>92</v>
      </c>
      <c r="F18" s="6" t="str">
        <f t="shared" si="0"/>
        <v>sh600016</v>
      </c>
      <c r="G18" s="5">
        <v>4.34</v>
      </c>
      <c r="H18" s="5">
        <f>IF(ISNA(VLOOKUP(B18,Sheet1!A:B,2,0)),0,VLOOKUP(B18,Sheet1!A:B,2,0))</f>
        <v>4.3499999999999996</v>
      </c>
      <c r="I18">
        <f t="shared" si="1"/>
        <v>9.9999999999997868E-3</v>
      </c>
      <c r="J18" t="str">
        <f t="shared" si="13"/>
        <v>民生银行</v>
      </c>
      <c r="K18" t="str">
        <f t="shared" ref="K18:K25" si="15">D18&amp;E18</f>
        <v>sh600016</v>
      </c>
      <c r="L18" t="str">
        <f t="shared" si="14"/>
        <v>-0.24</v>
      </c>
      <c r="M18" s="3">
        <f t="shared" si="8"/>
        <v>-1.0415999999999998E-2</v>
      </c>
      <c r="P18"/>
      <c r="Q18" s="1" t="s">
        <v>93</v>
      </c>
      <c r="R18" s="1" t="s">
        <v>94</v>
      </c>
      <c r="S18" s="1" t="s">
        <v>95</v>
      </c>
      <c r="T18" s="1" t="s">
        <v>96</v>
      </c>
      <c r="U18" s="1" t="s">
        <v>97</v>
      </c>
      <c r="V18" s="1">
        <f t="shared" si="3"/>
        <v>9.9999999999997868E-3</v>
      </c>
      <c r="Y18" s="6" t="str">
        <f t="shared" si="4"/>
        <v>sh600016</v>
      </c>
      <c r="Z18" s="5">
        <f t="shared" si="5"/>
        <v>4.3499999999999996</v>
      </c>
    </row>
    <row r="19" spans="1:28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t="str">
        <f t="shared" si="6"/>
        <v>sh</v>
      </c>
      <c r="E19" t="s">
        <v>100</v>
      </c>
      <c r="F19" s="6" t="str">
        <f t="shared" si="0"/>
        <v>sh601985</v>
      </c>
      <c r="G19" s="5">
        <v>0.71</v>
      </c>
      <c r="H19" s="5">
        <f>IF(ISNA(VLOOKUP(B19,Sheet1!A:B,2,0)),0,VLOOKUP(B19,Sheet1!A:B,2,0))</f>
        <v>0.7</v>
      </c>
      <c r="I19">
        <f t="shared" si="1"/>
        <v>-1.0000000000000009E-2</v>
      </c>
      <c r="J19" t="str">
        <f t="shared" si="13"/>
        <v>中国核电</v>
      </c>
      <c r="K19" t="str">
        <f t="shared" si="15"/>
        <v>sh601985</v>
      </c>
      <c r="L19" t="str">
        <f t="shared" si="14"/>
        <v>-3.20</v>
      </c>
      <c r="M19" s="3">
        <f t="shared" si="8"/>
        <v>-2.2719999999999997E-2</v>
      </c>
      <c r="P19"/>
      <c r="Q19" s="1" t="s">
        <v>101</v>
      </c>
      <c r="R19" s="1" t="s">
        <v>102</v>
      </c>
      <c r="S19" s="1" t="s">
        <v>103</v>
      </c>
      <c r="T19" s="1" t="s">
        <v>104</v>
      </c>
      <c r="U19" s="1" t="s">
        <v>105</v>
      </c>
      <c r="V19" s="1">
        <f t="shared" si="3"/>
        <v>-1.0000000000000009E-2</v>
      </c>
      <c r="Y19" s="6" t="str">
        <f t="shared" si="4"/>
        <v>sh601985</v>
      </c>
      <c r="Z19" s="5">
        <f t="shared" si="5"/>
        <v>0.7</v>
      </c>
    </row>
    <row r="20" spans="1:28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t="str">
        <f t="shared" si="6"/>
        <v>sh</v>
      </c>
      <c r="E20" t="s">
        <v>108</v>
      </c>
      <c r="F20" s="6" t="str">
        <f t="shared" si="0"/>
        <v>sh601601</v>
      </c>
      <c r="G20" s="5">
        <v>1.96</v>
      </c>
      <c r="H20" s="5">
        <f>IF(ISNA(VLOOKUP(B20,Sheet1!A:B,2,0)),0,VLOOKUP(B20,Sheet1!A:B,2,0))</f>
        <v>1.96</v>
      </c>
      <c r="I20">
        <f t="shared" si="1"/>
        <v>0</v>
      </c>
      <c r="J20" t="str">
        <f t="shared" si="13"/>
        <v>中国太保</v>
      </c>
      <c r="K20" t="str">
        <f t="shared" si="15"/>
        <v>sh601601</v>
      </c>
      <c r="L20" t="str">
        <f t="shared" si="14"/>
        <v>-1.73</v>
      </c>
      <c r="M20" s="3">
        <f t="shared" si="8"/>
        <v>-3.3908000000000001E-2</v>
      </c>
      <c r="P20"/>
      <c r="Q20" s="1" t="s">
        <v>109</v>
      </c>
      <c r="R20" s="1" t="s">
        <v>110</v>
      </c>
      <c r="S20" s="1" t="s">
        <v>111</v>
      </c>
      <c r="T20" s="1" t="s">
        <v>112</v>
      </c>
      <c r="U20" s="1" t="s">
        <v>113</v>
      </c>
      <c r="V20" s="1">
        <f t="shared" si="3"/>
        <v>0</v>
      </c>
      <c r="Y20" s="6" t="str">
        <f t="shared" si="4"/>
        <v>sh601601</v>
      </c>
      <c r="Z20" s="5">
        <f t="shared" si="5"/>
        <v>1.96</v>
      </c>
    </row>
    <row r="21" spans="1:28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t="str">
        <f t="shared" si="6"/>
        <v>sh</v>
      </c>
      <c r="E21" t="s">
        <v>116</v>
      </c>
      <c r="F21" s="6" t="str">
        <f t="shared" si="0"/>
        <v>sh600028</v>
      </c>
      <c r="G21" s="5">
        <v>1.33</v>
      </c>
      <c r="H21" s="5">
        <f>IF(ISNA(VLOOKUP(B21,Sheet1!A:B,2,0)),0,VLOOKUP(B21,Sheet1!A:B,2,0))</f>
        <v>1.3</v>
      </c>
      <c r="I21">
        <f t="shared" si="1"/>
        <v>-3.0000000000000027E-2</v>
      </c>
      <c r="J21" t="str">
        <f t="shared" si="13"/>
        <v>中国石化</v>
      </c>
      <c r="K21" t="str">
        <f t="shared" si="15"/>
        <v>sh600028</v>
      </c>
      <c r="L21" t="str">
        <f t="shared" si="14"/>
        <v>-3.88</v>
      </c>
      <c r="M21" s="3">
        <f t="shared" si="8"/>
        <v>-5.1604000000000004E-2</v>
      </c>
      <c r="P21"/>
      <c r="Q21" s="1" t="s">
        <v>117</v>
      </c>
      <c r="R21" s="1" t="s">
        <v>118</v>
      </c>
      <c r="S21" s="1" t="s">
        <v>119</v>
      </c>
      <c r="T21" s="1" t="s">
        <v>120</v>
      </c>
      <c r="U21" s="1" t="s">
        <v>121</v>
      </c>
      <c r="V21" s="1">
        <f t="shared" si="3"/>
        <v>-3.0000000000000027E-2</v>
      </c>
      <c r="Y21" s="6" t="str">
        <f t="shared" si="4"/>
        <v>sh600028</v>
      </c>
      <c r="Z21" s="5">
        <f t="shared" si="5"/>
        <v>1.3</v>
      </c>
    </row>
    <row r="22" spans="1:28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t="str">
        <f t="shared" si="6"/>
        <v>sh</v>
      </c>
      <c r="E22" t="s">
        <v>124</v>
      </c>
      <c r="F22" s="6" t="str">
        <f t="shared" si="0"/>
        <v>sh601186</v>
      </c>
      <c r="G22" s="5">
        <v>1.05</v>
      </c>
      <c r="H22" s="5">
        <f>IF(ISNA(VLOOKUP(B22,Sheet1!A:B,2,0)),0,VLOOKUP(B22,Sheet1!A:B,2,0))</f>
        <v>1.07</v>
      </c>
      <c r="I22">
        <f t="shared" si="1"/>
        <v>2.0000000000000018E-2</v>
      </c>
      <c r="J22" t="str">
        <f t="shared" si="13"/>
        <v>中国铁建</v>
      </c>
      <c r="K22" t="str">
        <f t="shared" si="15"/>
        <v>sh601186</v>
      </c>
      <c r="L22" t="str">
        <f t="shared" si="14"/>
        <v>-5.76</v>
      </c>
      <c r="M22" s="3">
        <f t="shared" si="8"/>
        <v>-6.0479999999999999E-2</v>
      </c>
      <c r="P22"/>
      <c r="Q22" s="1" t="s">
        <v>125</v>
      </c>
      <c r="R22" s="1" t="s">
        <v>126</v>
      </c>
      <c r="S22" s="1" t="s">
        <v>127</v>
      </c>
      <c r="T22" s="1" t="s">
        <v>128</v>
      </c>
      <c r="U22" s="1" t="s">
        <v>129</v>
      </c>
      <c r="V22" s="1">
        <f t="shared" si="3"/>
        <v>2.0000000000000018E-2</v>
      </c>
      <c r="Y22" s="6" t="str">
        <f t="shared" si="4"/>
        <v>sh601186</v>
      </c>
      <c r="Z22" s="5">
        <f t="shared" si="5"/>
        <v>1.07</v>
      </c>
    </row>
    <row r="23" spans="1:28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t="str">
        <f t="shared" si="6"/>
        <v>sh</v>
      </c>
      <c r="E23" t="s">
        <v>132</v>
      </c>
      <c r="F23" s="6" t="str">
        <f t="shared" si="0"/>
        <v>sh601390</v>
      </c>
      <c r="G23" s="5">
        <v>1.04</v>
      </c>
      <c r="H23" s="5">
        <f>IF(ISNA(VLOOKUP(B23,Sheet1!A:B,2,0)),0,VLOOKUP(B23,Sheet1!A:B,2,0))</f>
        <v>1.04</v>
      </c>
      <c r="I23">
        <f t="shared" si="1"/>
        <v>0</v>
      </c>
      <c r="J23" t="str">
        <f t="shared" si="13"/>
        <v>中国中铁</v>
      </c>
      <c r="K23" t="str">
        <f t="shared" si="15"/>
        <v>sh601390</v>
      </c>
      <c r="L23" t="str">
        <f t="shared" si="14"/>
        <v>-6.26</v>
      </c>
      <c r="M23" s="3">
        <f t="shared" si="8"/>
        <v>-6.5103999999999995E-2</v>
      </c>
      <c r="P23"/>
      <c r="Q23" s="1" t="s">
        <v>133</v>
      </c>
      <c r="R23" s="1" t="s">
        <v>134</v>
      </c>
      <c r="S23" s="1" t="s">
        <v>135</v>
      </c>
      <c r="T23" s="1" t="s">
        <v>136</v>
      </c>
      <c r="U23" s="1" t="s">
        <v>137</v>
      </c>
      <c r="V23" s="1">
        <f t="shared" si="3"/>
        <v>0</v>
      </c>
      <c r="Y23" s="6" t="str">
        <f t="shared" si="4"/>
        <v>sh601390</v>
      </c>
      <c r="Z23" s="5">
        <f t="shared" si="5"/>
        <v>1.04</v>
      </c>
    </row>
    <row r="24" spans="1:28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t="str">
        <f t="shared" si="6"/>
        <v>sh</v>
      </c>
      <c r="E24" t="s">
        <v>140</v>
      </c>
      <c r="F24" s="6" t="str">
        <f t="shared" si="0"/>
        <v>sh601088</v>
      </c>
      <c r="G24" s="5">
        <v>1.02</v>
      </c>
      <c r="H24" s="5">
        <f>IF(ISNA(VLOOKUP(B24,Sheet1!A:B,2,0)),0,VLOOKUP(B24,Sheet1!A:B,2,0))</f>
        <v>1.02</v>
      </c>
      <c r="I24">
        <f t="shared" si="1"/>
        <v>0</v>
      </c>
      <c r="J24" t="str">
        <f t="shared" si="13"/>
        <v>中国神华</v>
      </c>
      <c r="K24" t="str">
        <f t="shared" si="15"/>
        <v>sh601088</v>
      </c>
      <c r="L24" t="str">
        <f t="shared" si="14"/>
        <v>-3.79</v>
      </c>
      <c r="M24" s="3">
        <f t="shared" si="8"/>
        <v>-3.8657999999999998E-2</v>
      </c>
      <c r="P24"/>
      <c r="Q24" s="1" t="s">
        <v>141</v>
      </c>
      <c r="R24" s="1" t="s">
        <v>142</v>
      </c>
      <c r="S24" s="1" t="s">
        <v>143</v>
      </c>
      <c r="T24" s="1" t="s">
        <v>144</v>
      </c>
      <c r="U24" s="1" t="s">
        <v>145</v>
      </c>
      <c r="V24" s="1">
        <f t="shared" si="3"/>
        <v>0</v>
      </c>
      <c r="Y24" s="6" t="str">
        <f t="shared" si="4"/>
        <v>sh601088</v>
      </c>
      <c r="Z24" s="5">
        <f t="shared" si="5"/>
        <v>1.02</v>
      </c>
      <c r="AB24" s="18"/>
    </row>
    <row r="25" spans="1:28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t="str">
        <f t="shared" si="6"/>
        <v>sh</v>
      </c>
      <c r="E25" t="s">
        <v>133</v>
      </c>
      <c r="F25" s="6" t="str">
        <f t="shared" si="0"/>
        <v>sh601989</v>
      </c>
      <c r="G25" s="5">
        <v>1.27</v>
      </c>
      <c r="H25" s="5">
        <f>IF(ISNA(VLOOKUP(B25,Sheet1!A:B,2,0)),0,VLOOKUP(B25,Sheet1!A:B,2,0))</f>
        <v>1.26</v>
      </c>
      <c r="I25">
        <f t="shared" si="1"/>
        <v>-1.0000000000000009E-2</v>
      </c>
      <c r="J25" t="e">
        <f t="shared" si="13"/>
        <v>#N/A</v>
      </c>
      <c r="K25" t="str">
        <f t="shared" si="15"/>
        <v>sh601989</v>
      </c>
      <c r="L25" t="e">
        <f t="shared" si="14"/>
        <v>#N/A</v>
      </c>
      <c r="M25" s="3" t="e">
        <f t="shared" si="8"/>
        <v>#N/A</v>
      </c>
      <c r="P25"/>
      <c r="Q25" s="1" t="s">
        <v>147</v>
      </c>
      <c r="R25" s="1" t="s">
        <v>148</v>
      </c>
      <c r="S25" s="1" t="s">
        <v>149</v>
      </c>
      <c r="T25" s="1" t="s">
        <v>150</v>
      </c>
      <c r="U25" s="1" t="s">
        <v>151</v>
      </c>
      <c r="V25" s="1">
        <f t="shared" si="3"/>
        <v>-1.0000000000000009E-2</v>
      </c>
      <c r="Y25" s="6" t="str">
        <f t="shared" si="4"/>
        <v>sh601989</v>
      </c>
      <c r="Z25" s="5">
        <f t="shared" si="5"/>
        <v>1.26</v>
      </c>
    </row>
    <row r="26" spans="1:28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t="str">
        <f t="shared" si="6"/>
        <v>sh</v>
      </c>
      <c r="E26" t="s">
        <v>154</v>
      </c>
      <c r="F26" s="6" t="str">
        <f t="shared" si="0"/>
        <v>sh601668</v>
      </c>
      <c r="G26" s="5">
        <v>2.72</v>
      </c>
      <c r="H26" s="5">
        <f>IF(ISNA(VLOOKUP(B26,Sheet1!A:B,2,0)),0,VLOOKUP(B26,Sheet1!A:B,2,0))</f>
        <v>2.7</v>
      </c>
      <c r="I26">
        <f t="shared" ref="I26:I52" si="16">+H26-G26</f>
        <v>-2.0000000000000018E-2</v>
      </c>
      <c r="J26" t="str">
        <f t="shared" si="13"/>
        <v>中国建筑</v>
      </c>
      <c r="K26" t="str">
        <f t="shared" ref="K26:K52" si="17">D26&amp;E26</f>
        <v>sh601668</v>
      </c>
      <c r="L26" t="str">
        <f t="shared" si="14"/>
        <v>-4.78</v>
      </c>
      <c r="M26" s="3">
        <f t="shared" ref="M26:M52" si="18">G26*L26/100</f>
        <v>-0.13001600000000002</v>
      </c>
      <c r="P26"/>
      <c r="Q26" s="1" t="s">
        <v>147</v>
      </c>
      <c r="R26" s="1" t="s">
        <v>148</v>
      </c>
      <c r="S26" s="1" t="s">
        <v>149</v>
      </c>
      <c r="T26" s="1" t="s">
        <v>150</v>
      </c>
      <c r="U26" s="1" t="s">
        <v>151</v>
      </c>
      <c r="V26" s="1">
        <f t="shared" si="3"/>
        <v>-2.0000000000000018E-2</v>
      </c>
      <c r="Y26" s="6" t="str">
        <f t="shared" si="4"/>
        <v>sh601668</v>
      </c>
      <c r="Z26" s="5">
        <f t="shared" si="5"/>
        <v>2.7</v>
      </c>
    </row>
    <row r="27" spans="1:28" x14ac:dyDescent="0.15">
      <c r="A27" t="str">
        <f>E27</f>
        <v>600050</v>
      </c>
      <c r="B27" s="10" t="s">
        <v>9014</v>
      </c>
      <c r="C27" t="s">
        <v>9016</v>
      </c>
      <c r="D27" t="s">
        <v>9019</v>
      </c>
      <c r="E27" s="2" t="s">
        <v>9018</v>
      </c>
      <c r="F27" s="6" t="str">
        <f>D27&amp;E27</f>
        <v>sh600050</v>
      </c>
      <c r="G27" s="5">
        <v>1.32</v>
      </c>
      <c r="H27" s="5">
        <f>IF(ISNA(VLOOKUP(B27,Sheet1!A:B,2,0)),0,VLOOKUP(B27,Sheet1!A:B,2,0))</f>
        <v>1.32</v>
      </c>
      <c r="I27">
        <f>+H27-G27</f>
        <v>0</v>
      </c>
      <c r="J27" t="str">
        <f t="shared" si="13"/>
        <v>中国联通</v>
      </c>
      <c r="K27" t="str">
        <f>D27&amp;E27</f>
        <v>sh600050</v>
      </c>
      <c r="L27" t="str">
        <f t="shared" si="14"/>
        <v>-5.79</v>
      </c>
      <c r="M27" s="3">
        <f>G27*L27/100</f>
        <v>-7.6427999999999996E-2</v>
      </c>
      <c r="P27"/>
      <c r="Q27" s="1" t="s">
        <v>147</v>
      </c>
      <c r="R27" s="1" t="s">
        <v>148</v>
      </c>
      <c r="S27" s="1" t="s">
        <v>149</v>
      </c>
      <c r="T27" s="1" t="s">
        <v>150</v>
      </c>
      <c r="U27" s="1" t="s">
        <v>151</v>
      </c>
      <c r="V27" s="1">
        <f t="shared" si="3"/>
        <v>0</v>
      </c>
      <c r="Y27" s="6" t="str">
        <f>+F27</f>
        <v>sh600050</v>
      </c>
      <c r="Z27" s="5">
        <f>H27</f>
        <v>1.32</v>
      </c>
    </row>
    <row r="28" spans="1:28" x14ac:dyDescent="0.15">
      <c r="A28" t="str">
        <f t="shared" si="2"/>
        <v>600900</v>
      </c>
      <c r="B28" s="10" t="s">
        <v>8976</v>
      </c>
      <c r="C28" s="11" t="s">
        <v>9001</v>
      </c>
      <c r="D28" t="s">
        <v>8937</v>
      </c>
      <c r="E28" s="2" t="s">
        <v>8938</v>
      </c>
      <c r="F28" s="6" t="str">
        <f t="shared" si="0"/>
        <v>sh600900</v>
      </c>
      <c r="G28" s="5">
        <v>1.37</v>
      </c>
      <c r="H28" s="5">
        <f>IF(ISNA(VLOOKUP(B28,Sheet1!A:B,2,0)),0,VLOOKUP(B28,Sheet1!A:B,2,0))</f>
        <v>1.37</v>
      </c>
      <c r="I28">
        <f t="shared" si="16"/>
        <v>0</v>
      </c>
      <c r="J28" t="str">
        <f t="shared" si="13"/>
        <v>长江电力</v>
      </c>
      <c r="K28" t="str">
        <f t="shared" si="17"/>
        <v>sh600900</v>
      </c>
      <c r="L28" t="str">
        <f t="shared" si="14"/>
        <v>-1.71</v>
      </c>
      <c r="M28" s="3">
        <f t="shared" si="18"/>
        <v>-2.3427000000000003E-2</v>
      </c>
      <c r="P28"/>
      <c r="Q28" s="1" t="s">
        <v>147</v>
      </c>
      <c r="R28" s="1" t="s">
        <v>148</v>
      </c>
      <c r="S28" s="1" t="s">
        <v>149</v>
      </c>
      <c r="T28" s="1" t="s">
        <v>150</v>
      </c>
      <c r="U28" s="1" t="s">
        <v>151</v>
      </c>
      <c r="V28" s="1">
        <f t="shared" si="3"/>
        <v>0</v>
      </c>
      <c r="Y28" s="6" t="str">
        <f t="shared" si="4"/>
        <v>sh600900</v>
      </c>
      <c r="Z28" s="5">
        <f t="shared" ref="Z28:Z52" si="19">H28</f>
        <v>1.37</v>
      </c>
    </row>
    <row r="29" spans="1:28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t="str">
        <f t="shared" si="6"/>
        <v>sh</v>
      </c>
      <c r="E29" t="s">
        <v>21</v>
      </c>
      <c r="F29" s="6" t="str">
        <f t="shared" si="0"/>
        <v>sh600030</v>
      </c>
      <c r="G29" s="5">
        <v>3.11</v>
      </c>
      <c r="H29" s="5">
        <f>IF(ISNA(VLOOKUP(B29,Sheet1!A:B,2,0)),0,VLOOKUP(B29,Sheet1!A:B,2,0))</f>
        <v>3.07</v>
      </c>
      <c r="I29">
        <f t="shared" si="16"/>
        <v>-4.0000000000000036E-2</v>
      </c>
      <c r="J29" t="e">
        <f t="shared" si="13"/>
        <v>#N/A</v>
      </c>
      <c r="K29" t="str">
        <f t="shared" si="17"/>
        <v>sh600030</v>
      </c>
      <c r="L29" t="e">
        <f t="shared" si="14"/>
        <v>#N/A</v>
      </c>
      <c r="M29" s="3" t="e">
        <f t="shared" si="18"/>
        <v>#N/A</v>
      </c>
      <c r="P29"/>
      <c r="Q29" s="1" t="s">
        <v>147</v>
      </c>
      <c r="R29" s="1" t="s">
        <v>148</v>
      </c>
      <c r="S29" s="1" t="s">
        <v>149</v>
      </c>
      <c r="T29" s="1" t="s">
        <v>150</v>
      </c>
      <c r="U29" s="1" t="s">
        <v>151</v>
      </c>
      <c r="V29" s="1">
        <f t="shared" si="3"/>
        <v>-4.0000000000000036E-2</v>
      </c>
      <c r="Y29" s="6" t="str">
        <f t="shared" si="4"/>
        <v>sh600030</v>
      </c>
      <c r="Z29" s="5">
        <f t="shared" si="19"/>
        <v>3.07</v>
      </c>
    </row>
    <row r="30" spans="1:28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t="str">
        <f t="shared" si="6"/>
        <v>sh</v>
      </c>
      <c r="E30" t="s">
        <v>184</v>
      </c>
      <c r="F30" s="6" t="str">
        <f t="shared" si="0"/>
        <v>sh601766</v>
      </c>
      <c r="G30" s="5">
        <v>1.93</v>
      </c>
      <c r="H30" s="5">
        <f>IF(ISNA(VLOOKUP(B30,Sheet1!A:B,2,0)),0,VLOOKUP(B30,Sheet1!A:B,2,0))</f>
        <v>1.92</v>
      </c>
      <c r="I30">
        <f t="shared" si="16"/>
        <v>-1.0000000000000009E-2</v>
      </c>
      <c r="J30" t="str">
        <f t="shared" si="13"/>
        <v>中国中车</v>
      </c>
      <c r="K30" t="str">
        <f t="shared" si="17"/>
        <v>sh601766</v>
      </c>
      <c r="L30" t="str">
        <f t="shared" si="14"/>
        <v>-4.31</v>
      </c>
      <c r="M30" s="3">
        <f t="shared" si="18"/>
        <v>-8.3182999999999993E-2</v>
      </c>
      <c r="P30"/>
      <c r="Q30" s="1" t="s">
        <v>147</v>
      </c>
      <c r="R30" s="1" t="s">
        <v>148</v>
      </c>
      <c r="S30" s="1" t="s">
        <v>149</v>
      </c>
      <c r="T30" s="1" t="s">
        <v>150</v>
      </c>
      <c r="U30" s="1" t="s">
        <v>151</v>
      </c>
      <c r="V30" s="1">
        <f t="shared" si="3"/>
        <v>-1.0000000000000009E-2</v>
      </c>
      <c r="Y30" s="6" t="str">
        <f t="shared" si="4"/>
        <v>sh601766</v>
      </c>
      <c r="Z30" s="5">
        <f t="shared" si="19"/>
        <v>1.92</v>
      </c>
    </row>
    <row r="31" spans="1:28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t="s">
        <v>8916</v>
      </c>
      <c r="E31" s="2" t="s">
        <v>8915</v>
      </c>
      <c r="F31" s="6" t="str">
        <f t="shared" si="0"/>
        <v>sz002027</v>
      </c>
      <c r="G31" s="5">
        <v>1.24</v>
      </c>
      <c r="H31" s="5">
        <f>IF(ISNA(VLOOKUP(B31,Sheet1!A:B,2,0)),0,VLOOKUP(B31,Sheet1!A:B,2,0))</f>
        <v>1.27</v>
      </c>
      <c r="I31">
        <f t="shared" si="16"/>
        <v>3.0000000000000027E-2</v>
      </c>
      <c r="J31" t="str">
        <f t="shared" si="13"/>
        <v>七喜控股</v>
      </c>
      <c r="K31" t="str">
        <f t="shared" si="17"/>
        <v>sz002027</v>
      </c>
      <c r="L31" t="str">
        <f t="shared" si="14"/>
        <v>-0.06</v>
      </c>
      <c r="M31" s="3">
        <f t="shared" si="18"/>
        <v>-7.4399999999999998E-4</v>
      </c>
      <c r="P31"/>
      <c r="Q31" s="1" t="s">
        <v>147</v>
      </c>
      <c r="R31" s="1" t="s">
        <v>148</v>
      </c>
      <c r="S31" s="1" t="s">
        <v>149</v>
      </c>
      <c r="T31" s="1" t="s">
        <v>150</v>
      </c>
      <c r="U31" s="1" t="s">
        <v>151</v>
      </c>
      <c r="V31" s="1">
        <f t="shared" si="3"/>
        <v>3.0000000000000027E-2</v>
      </c>
      <c r="Y31" s="6" t="str">
        <f t="shared" si="4"/>
        <v>sz002027</v>
      </c>
      <c r="Z31" s="5">
        <f t="shared" si="19"/>
        <v>1.27</v>
      </c>
    </row>
    <row r="32" spans="1:28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t="str">
        <f t="shared" si="6"/>
        <v>sz</v>
      </c>
      <c r="E32" s="2" t="s">
        <v>199</v>
      </c>
      <c r="F32" s="6" t="str">
        <f t="shared" si="0"/>
        <v>sz000776</v>
      </c>
      <c r="G32" s="5">
        <v>1.01</v>
      </c>
      <c r="H32" s="5">
        <f>IF(ISNA(VLOOKUP(B32,Sheet1!A:B,2,0)),0,VLOOKUP(B32,Sheet1!A:B,2,0))</f>
        <v>1</v>
      </c>
      <c r="I32">
        <f t="shared" si="16"/>
        <v>-1.0000000000000009E-2</v>
      </c>
      <c r="J32" t="e">
        <f t="shared" si="13"/>
        <v>#N/A</v>
      </c>
      <c r="K32" t="str">
        <f t="shared" si="17"/>
        <v>sz000776</v>
      </c>
      <c r="L32" t="e">
        <f t="shared" si="14"/>
        <v>#N/A</v>
      </c>
      <c r="M32" s="3" t="e">
        <f t="shared" si="18"/>
        <v>#N/A</v>
      </c>
      <c r="P32"/>
      <c r="Q32" s="1" t="s">
        <v>147</v>
      </c>
      <c r="R32" s="1" t="s">
        <v>148</v>
      </c>
      <c r="S32" s="1" t="s">
        <v>149</v>
      </c>
      <c r="T32" s="1" t="s">
        <v>150</v>
      </c>
      <c r="U32" s="1" t="s">
        <v>151</v>
      </c>
      <c r="V32" s="1">
        <f t="shared" si="3"/>
        <v>-1.0000000000000009E-2</v>
      </c>
      <c r="Y32" s="6" t="str">
        <f t="shared" si="4"/>
        <v>sz000776</v>
      </c>
      <c r="Z32" s="5">
        <f t="shared" si="19"/>
        <v>1</v>
      </c>
    </row>
    <row r="33" spans="1:26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t="s">
        <v>8926</v>
      </c>
      <c r="E33" s="2" t="s">
        <v>8927</v>
      </c>
      <c r="F33" s="6" t="str">
        <f t="shared" si="0"/>
        <v>sh601238</v>
      </c>
      <c r="G33" s="5">
        <v>0.34</v>
      </c>
      <c r="H33" s="5">
        <f>IF(ISNA(VLOOKUP(B33,Sheet1!A:B,2,0)),0,VLOOKUP(B33,Sheet1!A:B,2,0))</f>
        <v>0.33</v>
      </c>
      <c r="I33">
        <f t="shared" si="16"/>
        <v>-1.0000000000000009E-2</v>
      </c>
      <c r="J33" t="str">
        <f t="shared" si="13"/>
        <v>广汽集团</v>
      </c>
      <c r="K33" t="str">
        <f t="shared" si="17"/>
        <v>sh601238</v>
      </c>
      <c r="L33" t="str">
        <f t="shared" si="14"/>
        <v>-4.63</v>
      </c>
      <c r="M33" s="3">
        <f t="shared" si="18"/>
        <v>-1.5741999999999999E-2</v>
      </c>
      <c r="P33"/>
      <c r="Q33" s="1" t="s">
        <v>147</v>
      </c>
      <c r="R33" s="1" t="s">
        <v>148</v>
      </c>
      <c r="S33" s="1" t="s">
        <v>149</v>
      </c>
      <c r="T33" s="1" t="s">
        <v>150</v>
      </c>
      <c r="U33" s="1" t="s">
        <v>151</v>
      </c>
      <c r="V33" s="1">
        <f t="shared" si="3"/>
        <v>-1.0000000000000009E-2</v>
      </c>
      <c r="Y33" s="6" t="str">
        <f t="shared" si="4"/>
        <v>sh601238</v>
      </c>
      <c r="Z33" s="5">
        <f t="shared" si="19"/>
        <v>0.33</v>
      </c>
    </row>
    <row r="34" spans="1:26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t="str">
        <f t="shared" si="6"/>
        <v>sh</v>
      </c>
      <c r="E34" t="s">
        <v>223</v>
      </c>
      <c r="F34" s="6" t="str">
        <f t="shared" si="0"/>
        <v>sh601211</v>
      </c>
      <c r="G34" s="5">
        <v>1.57</v>
      </c>
      <c r="H34" s="5">
        <f>IF(ISNA(VLOOKUP(B34,Sheet1!A:B,2,0)),0,VLOOKUP(B34,Sheet1!A:B,2,0))</f>
        <v>1.56</v>
      </c>
      <c r="I34">
        <f t="shared" si="16"/>
        <v>-1.0000000000000009E-2</v>
      </c>
      <c r="J34" t="str">
        <f t="shared" si="13"/>
        <v>国泰君安</v>
      </c>
      <c r="K34" t="str">
        <f t="shared" si="17"/>
        <v>sh601211</v>
      </c>
      <c r="L34" t="str">
        <f t="shared" si="14"/>
        <v>-4.22</v>
      </c>
      <c r="M34" s="3">
        <f t="shared" si="18"/>
        <v>-6.6253999999999993E-2</v>
      </c>
      <c r="P34"/>
      <c r="Q34" s="1" t="s">
        <v>147</v>
      </c>
      <c r="R34" s="1" t="s">
        <v>148</v>
      </c>
      <c r="S34" s="1" t="s">
        <v>149</v>
      </c>
      <c r="T34" s="1" t="s">
        <v>150</v>
      </c>
      <c r="U34" s="1" t="s">
        <v>151</v>
      </c>
      <c r="V34" s="1">
        <f t="shared" si="3"/>
        <v>-1.0000000000000009E-2</v>
      </c>
      <c r="Y34" s="6" t="str">
        <f t="shared" si="4"/>
        <v>sh601211</v>
      </c>
      <c r="Z34" s="5">
        <f t="shared" si="19"/>
        <v>1.56</v>
      </c>
    </row>
    <row r="35" spans="1:26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t="str">
        <f t="shared" si="6"/>
        <v>sh</v>
      </c>
      <c r="E35" t="s">
        <v>231</v>
      </c>
      <c r="F35" s="6" t="str">
        <f t="shared" si="0"/>
        <v>sh600837</v>
      </c>
      <c r="G35" s="5">
        <v>2.0699999999999998</v>
      </c>
      <c r="H35" s="5">
        <f>IF(ISNA(VLOOKUP(B35,Sheet1!A:B,2,0)),0,VLOOKUP(B35,Sheet1!A:B,2,0))</f>
        <v>2.0499999999999998</v>
      </c>
      <c r="I35">
        <f t="shared" si="16"/>
        <v>-2.0000000000000018E-2</v>
      </c>
      <c r="J35" t="e">
        <f t="shared" si="13"/>
        <v>#N/A</v>
      </c>
      <c r="K35" t="str">
        <f t="shared" si="17"/>
        <v>sh600837</v>
      </c>
      <c r="L35" t="e">
        <f t="shared" si="14"/>
        <v>#N/A</v>
      </c>
      <c r="M35" s="3" t="e">
        <f t="shared" si="18"/>
        <v>#N/A</v>
      </c>
      <c r="P35"/>
      <c r="Q35" s="1" t="s">
        <v>147</v>
      </c>
      <c r="R35" s="1" t="s">
        <v>148</v>
      </c>
      <c r="S35" s="1" t="s">
        <v>149</v>
      </c>
      <c r="T35" s="1" t="s">
        <v>150</v>
      </c>
      <c r="U35" s="1" t="s">
        <v>151</v>
      </c>
      <c r="V35" s="1">
        <f t="shared" si="3"/>
        <v>-2.0000000000000018E-2</v>
      </c>
      <c r="Y35" s="6" t="str">
        <f t="shared" si="4"/>
        <v>sh600837</v>
      </c>
      <c r="Z35" s="5">
        <f t="shared" si="19"/>
        <v>2.0499999999999998</v>
      </c>
    </row>
    <row r="36" spans="1:26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t="str">
        <f t="shared" si="6"/>
        <v>sz</v>
      </c>
      <c r="E36" s="2" t="s">
        <v>238</v>
      </c>
      <c r="F36" s="6" t="str">
        <f t="shared" si="0"/>
        <v>sz002415</v>
      </c>
      <c r="G36" s="5">
        <v>2.06</v>
      </c>
      <c r="H36" s="5">
        <f>IF(ISNA(VLOOKUP(B36,Sheet1!A:B,2,0)),0,VLOOKUP(B36,Sheet1!A:B,2,0))</f>
        <v>2.0299999999999998</v>
      </c>
      <c r="I36">
        <f t="shared" si="16"/>
        <v>-3.0000000000000249E-2</v>
      </c>
      <c r="J36" t="str">
        <f t="shared" si="13"/>
        <v>海康威视</v>
      </c>
      <c r="K36" t="str">
        <f t="shared" si="17"/>
        <v>sz002415</v>
      </c>
      <c r="L36" t="str">
        <f t="shared" si="14"/>
        <v>-3.64</v>
      </c>
      <c r="M36" s="3">
        <f t="shared" si="18"/>
        <v>-7.4983999999999995E-2</v>
      </c>
      <c r="P36"/>
      <c r="Q36" s="1" t="s">
        <v>147</v>
      </c>
      <c r="R36" s="1" t="s">
        <v>148</v>
      </c>
      <c r="S36" s="1" t="s">
        <v>149</v>
      </c>
      <c r="T36" s="1" t="s">
        <v>150</v>
      </c>
      <c r="U36" s="1" t="s">
        <v>151</v>
      </c>
      <c r="V36" s="1">
        <f t="shared" si="3"/>
        <v>-3.0000000000000249E-2</v>
      </c>
      <c r="Y36" s="6" t="str">
        <f t="shared" si="4"/>
        <v>sz002415</v>
      </c>
      <c r="Z36" s="5">
        <f t="shared" si="19"/>
        <v>2.0299999999999998</v>
      </c>
    </row>
    <row r="37" spans="1:26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t="str">
        <f t="shared" si="6"/>
        <v>sh</v>
      </c>
      <c r="E37" t="s">
        <v>253</v>
      </c>
      <c r="F37" s="6" t="str">
        <f t="shared" si="0"/>
        <v>sh601688</v>
      </c>
      <c r="G37" s="5">
        <v>1.1000000000000001</v>
      </c>
      <c r="H37" s="5">
        <f>IF(ISNA(VLOOKUP(B37,Sheet1!A:B,2,0)),0,VLOOKUP(B37,Sheet1!A:B,2,0))</f>
        <v>1.0900000000000001</v>
      </c>
      <c r="I37">
        <f t="shared" si="16"/>
        <v>-1.0000000000000009E-2</v>
      </c>
      <c r="J37" t="str">
        <f t="shared" si="13"/>
        <v>华泰证券</v>
      </c>
      <c r="K37" t="str">
        <f t="shared" si="17"/>
        <v>sh601688</v>
      </c>
      <c r="L37" t="str">
        <f t="shared" si="14"/>
        <v>-3.67</v>
      </c>
      <c r="M37" s="3">
        <f t="shared" si="18"/>
        <v>-4.0369999999999996E-2</v>
      </c>
      <c r="P37"/>
      <c r="Q37" s="1" t="s">
        <v>147</v>
      </c>
      <c r="R37" s="1" t="s">
        <v>148</v>
      </c>
      <c r="S37" s="1" t="s">
        <v>149</v>
      </c>
      <c r="T37" s="1" t="s">
        <v>150</v>
      </c>
      <c r="U37" s="1" t="s">
        <v>151</v>
      </c>
      <c r="V37" s="1">
        <f t="shared" si="3"/>
        <v>-1.0000000000000009E-2</v>
      </c>
      <c r="Y37" s="6" t="str">
        <f t="shared" si="4"/>
        <v>sh601688</v>
      </c>
      <c r="Z37" s="5">
        <f t="shared" si="19"/>
        <v>1.0900000000000001</v>
      </c>
    </row>
    <row r="38" spans="1:26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t="str">
        <f t="shared" si="6"/>
        <v>sh</v>
      </c>
      <c r="E38" t="s">
        <v>261</v>
      </c>
      <c r="F38" s="6" t="str">
        <f t="shared" si="0"/>
        <v>sh601398</v>
      </c>
      <c r="G38" s="5">
        <v>2.56</v>
      </c>
      <c r="H38" s="5">
        <f>IF(ISNA(VLOOKUP(B38,Sheet1!A:B,2,0)),0,VLOOKUP(B38,Sheet1!A:B,2,0))</f>
        <v>2.5299999999999998</v>
      </c>
      <c r="I38">
        <f t="shared" si="16"/>
        <v>-3.0000000000000249E-2</v>
      </c>
      <c r="J38" t="str">
        <f t="shared" si="13"/>
        <v>工商银行</v>
      </c>
      <c r="K38" t="str">
        <f t="shared" si="17"/>
        <v>sh601398</v>
      </c>
      <c r="L38" t="str">
        <f t="shared" si="14"/>
        <v>-1.86</v>
      </c>
      <c r="M38" s="3">
        <f t="shared" si="18"/>
        <v>-4.7616000000000006E-2</v>
      </c>
      <c r="P38"/>
      <c r="Q38" s="1" t="s">
        <v>147</v>
      </c>
      <c r="R38" s="1" t="s">
        <v>148</v>
      </c>
      <c r="S38" s="1" t="s">
        <v>149</v>
      </c>
      <c r="T38" s="1" t="s">
        <v>150</v>
      </c>
      <c r="U38" s="1" t="s">
        <v>151</v>
      </c>
      <c r="V38" s="1">
        <f t="shared" si="3"/>
        <v>-3.0000000000000249E-2</v>
      </c>
      <c r="Y38" s="6" t="str">
        <f t="shared" si="4"/>
        <v>sh601398</v>
      </c>
      <c r="Z38" s="5">
        <f t="shared" si="19"/>
        <v>2.5299999999999998</v>
      </c>
    </row>
    <row r="39" spans="1:26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t="str">
        <f t="shared" si="6"/>
        <v>sh</v>
      </c>
      <c r="E39" t="s">
        <v>239</v>
      </c>
      <c r="F39" s="6" t="str">
        <f t="shared" si="0"/>
        <v>sh601166</v>
      </c>
      <c r="G39" s="5">
        <v>5.26</v>
      </c>
      <c r="H39" s="5">
        <f>IF(ISNA(VLOOKUP(B39,Sheet1!A:B,2,0)),0,VLOOKUP(B39,Sheet1!A:B,2,0))</f>
        <v>5.27</v>
      </c>
      <c r="I39">
        <f t="shared" si="16"/>
        <v>9.9999999999997868E-3</v>
      </c>
      <c r="J39" t="e">
        <f t="shared" si="13"/>
        <v>#N/A</v>
      </c>
      <c r="K39" t="str">
        <f t="shared" si="17"/>
        <v>sh601166</v>
      </c>
      <c r="L39" t="e">
        <f t="shared" si="14"/>
        <v>#N/A</v>
      </c>
      <c r="M39" s="3" t="e">
        <f t="shared" si="18"/>
        <v>#N/A</v>
      </c>
      <c r="P39"/>
      <c r="Q39" s="1" t="s">
        <v>147</v>
      </c>
      <c r="R39" s="1" t="s">
        <v>148</v>
      </c>
      <c r="S39" s="1" t="s">
        <v>149</v>
      </c>
      <c r="T39" s="1" t="s">
        <v>150</v>
      </c>
      <c r="U39" s="1" t="s">
        <v>151</v>
      </c>
      <c r="V39" s="1">
        <f t="shared" si="3"/>
        <v>9.9999999999997868E-3</v>
      </c>
      <c r="Y39" s="6" t="str">
        <f t="shared" si="4"/>
        <v>sh601166</v>
      </c>
      <c r="Z39" s="5">
        <f t="shared" si="19"/>
        <v>5.27</v>
      </c>
    </row>
    <row r="40" spans="1:26" x14ac:dyDescent="0.15">
      <c r="A40" t="str">
        <f t="shared" si="2"/>
        <v>600276</v>
      </c>
      <c r="B40" s="10" t="s">
        <v>9023</v>
      </c>
      <c r="C40" s="11" t="s">
        <v>9031</v>
      </c>
      <c r="D40" t="s">
        <v>9026</v>
      </c>
      <c r="E40" s="2" t="s">
        <v>9030</v>
      </c>
      <c r="F40" s="6" t="str">
        <f t="shared" ref="F40" si="20">D40&amp;E40</f>
        <v>sh600276</v>
      </c>
      <c r="G40" s="5">
        <v>1.43</v>
      </c>
      <c r="H40" s="5">
        <f>IF(ISNA(VLOOKUP(B40,Sheet1!A:B,2,0)),0,VLOOKUP(B40,Sheet1!A:B,2,0))</f>
        <v>1.42</v>
      </c>
      <c r="M40" s="3"/>
      <c r="P40"/>
      <c r="Q40" s="1"/>
      <c r="R40" s="1"/>
      <c r="S40" s="1"/>
      <c r="T40" s="1"/>
      <c r="U40" s="1"/>
      <c r="V40" s="1">
        <f t="shared" si="3"/>
        <v>-1.0000000000000009E-2</v>
      </c>
      <c r="Y40" s="6" t="str">
        <f t="shared" ref="Y40" si="21">+F40</f>
        <v>sh600276</v>
      </c>
      <c r="Z40" s="5">
        <f t="shared" ref="Z40" si="22">H40</f>
        <v>1.42</v>
      </c>
    </row>
    <row r="41" spans="1:26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t="s">
        <v>8921</v>
      </c>
      <c r="E41" s="2" t="s">
        <v>8924</v>
      </c>
      <c r="F41" s="6" t="str">
        <f t="shared" si="0"/>
        <v>sz002304</v>
      </c>
      <c r="G41" s="5">
        <v>0.9</v>
      </c>
      <c r="H41" s="5">
        <f>IF(ISNA(VLOOKUP(B41,Sheet1!A:B,2,0)),0,VLOOKUP(B41,Sheet1!A:B,2,0))</f>
        <v>0.9</v>
      </c>
      <c r="I41">
        <f t="shared" si="16"/>
        <v>0</v>
      </c>
      <c r="J41" t="str">
        <f t="shared" ref="J41:J52" si="23">VLOOKUP(E41,P:Q,2,0)</f>
        <v>洋河股份</v>
      </c>
      <c r="K41" t="str">
        <f t="shared" si="17"/>
        <v>sz002304</v>
      </c>
      <c r="L41" t="str">
        <f t="shared" ref="L41:L52" si="24">VLOOKUP(E41,P:S,4,0)</f>
        <v>-2.10</v>
      </c>
      <c r="M41" s="3">
        <f t="shared" si="18"/>
        <v>-1.89E-2</v>
      </c>
      <c r="P41"/>
      <c r="Q41" s="1" t="s">
        <v>147</v>
      </c>
      <c r="R41" s="1" t="s">
        <v>148</v>
      </c>
      <c r="S41" s="1" t="s">
        <v>149</v>
      </c>
      <c r="T41" s="1" t="s">
        <v>150</v>
      </c>
      <c r="U41" s="1" t="s">
        <v>151</v>
      </c>
      <c r="V41" s="1">
        <f t="shared" ref="V41:V52" si="25">H41-G41</f>
        <v>0</v>
      </c>
      <c r="Y41" s="6" t="str">
        <f t="shared" si="4"/>
        <v>sz002304</v>
      </c>
      <c r="Z41" s="5">
        <f t="shared" si="19"/>
        <v>0.9</v>
      </c>
    </row>
    <row r="42" spans="1:26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t="str">
        <f t="shared" si="6"/>
        <v>sh</v>
      </c>
      <c r="E42" t="s">
        <v>283</v>
      </c>
      <c r="F42" s="6" t="str">
        <f t="shared" si="0"/>
        <v>sh600519</v>
      </c>
      <c r="G42" s="5">
        <v>4.97</v>
      </c>
      <c r="H42" s="5">
        <f>IF(ISNA(VLOOKUP(B42,Sheet1!A:B,2,0)),0,VLOOKUP(B42,Sheet1!A:B,2,0))</f>
        <v>4.9400000000000004</v>
      </c>
      <c r="I42">
        <f t="shared" si="16"/>
        <v>-2.9999999999999361E-2</v>
      </c>
      <c r="J42" t="str">
        <f t="shared" si="23"/>
        <v>贵州茅台</v>
      </c>
      <c r="K42" t="str">
        <f t="shared" si="17"/>
        <v>sh600519</v>
      </c>
      <c r="L42" t="str">
        <f t="shared" si="24"/>
        <v>-2.84</v>
      </c>
      <c r="M42" s="3">
        <f t="shared" si="18"/>
        <v>-0.141148</v>
      </c>
      <c r="P42"/>
      <c r="Q42" s="1" t="s">
        <v>147</v>
      </c>
      <c r="R42" s="1" t="s">
        <v>148</v>
      </c>
      <c r="S42" s="1" t="s">
        <v>149</v>
      </c>
      <c r="T42" s="1" t="s">
        <v>150</v>
      </c>
      <c r="U42" s="1" t="s">
        <v>151</v>
      </c>
      <c r="V42" s="1">
        <f t="shared" si="25"/>
        <v>-2.9999999999999361E-2</v>
      </c>
      <c r="Y42" s="6" t="str">
        <f t="shared" si="4"/>
        <v>sh600519</v>
      </c>
      <c r="Z42" s="5">
        <f t="shared" si="19"/>
        <v>4.9400000000000004</v>
      </c>
    </row>
    <row r="43" spans="1:26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t="str">
        <f t="shared" si="6"/>
        <v>sz</v>
      </c>
      <c r="E43" s="2" t="s">
        <v>291</v>
      </c>
      <c r="F43" s="6" t="str">
        <f t="shared" si="0"/>
        <v>sz000333</v>
      </c>
      <c r="G43" s="5">
        <v>3.62</v>
      </c>
      <c r="H43" s="5">
        <f>IF(ISNA(VLOOKUP(B43,Sheet1!A:B,2,0)),0,VLOOKUP(B43,Sheet1!A:B,2,0))</f>
        <v>3.59</v>
      </c>
      <c r="I43">
        <f t="shared" si="16"/>
        <v>-3.0000000000000249E-2</v>
      </c>
      <c r="J43" t="str">
        <f t="shared" si="23"/>
        <v>美的集团</v>
      </c>
      <c r="K43" t="str">
        <f t="shared" si="17"/>
        <v>sz000333</v>
      </c>
      <c r="L43" t="str">
        <f t="shared" si="24"/>
        <v>-4.09</v>
      </c>
      <c r="M43" s="3">
        <f t="shared" si="18"/>
        <v>-0.148058</v>
      </c>
      <c r="P43"/>
      <c r="Q43" s="1" t="s">
        <v>147</v>
      </c>
      <c r="R43" s="1" t="s">
        <v>148</v>
      </c>
      <c r="S43" s="1" t="s">
        <v>149</v>
      </c>
      <c r="T43" s="1" t="s">
        <v>150</v>
      </c>
      <c r="U43" s="1" t="s">
        <v>151</v>
      </c>
      <c r="V43" s="1">
        <f t="shared" si="25"/>
        <v>-3.0000000000000249E-2</v>
      </c>
      <c r="Y43" s="6" t="str">
        <f t="shared" si="4"/>
        <v>sz000333</v>
      </c>
      <c r="Z43" s="5">
        <f t="shared" si="19"/>
        <v>3.59</v>
      </c>
    </row>
    <row r="44" spans="1:26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t="str">
        <f t="shared" si="6"/>
        <v>sh</v>
      </c>
      <c r="E44" t="s">
        <v>299</v>
      </c>
      <c r="F44" s="6" t="str">
        <f t="shared" si="0"/>
        <v>sh601336</v>
      </c>
      <c r="G44" s="5">
        <v>0.67</v>
      </c>
      <c r="H44" s="5">
        <f>IF(ISNA(VLOOKUP(B44,Sheet1!A:B,2,0)),0,VLOOKUP(B44,Sheet1!A:B,2,0))</f>
        <v>0.67</v>
      </c>
      <c r="I44">
        <f t="shared" si="16"/>
        <v>0</v>
      </c>
      <c r="J44" t="e">
        <f t="shared" si="23"/>
        <v>#N/A</v>
      </c>
      <c r="K44" t="str">
        <f t="shared" si="17"/>
        <v>sh601336</v>
      </c>
      <c r="L44" t="e">
        <f t="shared" si="24"/>
        <v>#N/A</v>
      </c>
      <c r="M44" s="3" t="e">
        <f t="shared" si="18"/>
        <v>#N/A</v>
      </c>
      <c r="P44"/>
      <c r="Q44" s="1" t="s">
        <v>147</v>
      </c>
      <c r="R44" s="1" t="s">
        <v>148</v>
      </c>
      <c r="S44" s="1" t="s">
        <v>149</v>
      </c>
      <c r="T44" s="1" t="s">
        <v>150</v>
      </c>
      <c r="U44" s="1" t="s">
        <v>151</v>
      </c>
      <c r="V44" s="1">
        <f t="shared" si="25"/>
        <v>0</v>
      </c>
      <c r="Y44" s="6" t="str">
        <f t="shared" si="4"/>
        <v>sh601336</v>
      </c>
      <c r="Z44" s="5">
        <f t="shared" si="19"/>
        <v>0.67</v>
      </c>
    </row>
    <row r="45" spans="1:26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t="str">
        <f t="shared" si="6"/>
        <v>sh</v>
      </c>
      <c r="E45" t="s">
        <v>307</v>
      </c>
      <c r="F45" s="6" t="str">
        <f t="shared" si="0"/>
        <v>sh601857</v>
      </c>
      <c r="G45" s="5">
        <v>0.73</v>
      </c>
      <c r="H45" s="5">
        <f>IF(ISNA(VLOOKUP(B45,Sheet1!A:B,2,0)),0,VLOOKUP(B45,Sheet1!A:B,2,0))</f>
        <v>0.72</v>
      </c>
      <c r="I45">
        <f t="shared" si="16"/>
        <v>-1.0000000000000009E-2</v>
      </c>
      <c r="J45" t="str">
        <f t="shared" si="23"/>
        <v>中国石油</v>
      </c>
      <c r="K45" t="str">
        <f t="shared" si="17"/>
        <v>sh601857</v>
      </c>
      <c r="L45" t="str">
        <f t="shared" si="24"/>
        <v>-3.80</v>
      </c>
      <c r="M45" s="3">
        <f t="shared" si="18"/>
        <v>-2.7740000000000001E-2</v>
      </c>
      <c r="P45"/>
      <c r="Q45" s="1" t="s">
        <v>147</v>
      </c>
      <c r="R45" s="1" t="s">
        <v>148</v>
      </c>
      <c r="S45" s="1" t="s">
        <v>149</v>
      </c>
      <c r="T45" s="1" t="s">
        <v>150</v>
      </c>
      <c r="U45" s="1" t="s">
        <v>151</v>
      </c>
      <c r="V45" s="1">
        <f t="shared" si="25"/>
        <v>-1.0000000000000009E-2</v>
      </c>
      <c r="Y45" s="6" t="str">
        <f t="shared" si="4"/>
        <v>sh601857</v>
      </c>
      <c r="Z45" s="5">
        <f t="shared" si="19"/>
        <v>0.72</v>
      </c>
    </row>
    <row r="46" spans="1:26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t="str">
        <f t="shared" si="6"/>
        <v>sz</v>
      </c>
      <c r="E46" s="2" t="s">
        <v>314</v>
      </c>
      <c r="F46" s="6" t="str">
        <f t="shared" si="0"/>
        <v>sz000001</v>
      </c>
      <c r="G46" s="5">
        <v>1.56</v>
      </c>
      <c r="H46" s="5">
        <f>IF(ISNA(VLOOKUP(B46,Sheet1!A:B,2,0)),0,VLOOKUP(B46,Sheet1!A:B,2,0))</f>
        <v>1.56</v>
      </c>
      <c r="I46">
        <f t="shared" si="16"/>
        <v>0</v>
      </c>
      <c r="J46" t="str">
        <f t="shared" si="23"/>
        <v>平安银行</v>
      </c>
      <c r="K46" t="str">
        <f t="shared" si="17"/>
        <v>sz000001</v>
      </c>
      <c r="L46" t="str">
        <f t="shared" si="24"/>
        <v>-2.88</v>
      </c>
      <c r="M46" s="3">
        <f t="shared" si="18"/>
        <v>-4.4927999999999996E-2</v>
      </c>
      <c r="P46"/>
      <c r="Q46" s="1" t="s">
        <v>147</v>
      </c>
      <c r="R46" s="1" t="s">
        <v>148</v>
      </c>
      <c r="S46" s="1" t="s">
        <v>149</v>
      </c>
      <c r="T46" s="1" t="s">
        <v>150</v>
      </c>
      <c r="U46" s="1" t="s">
        <v>151</v>
      </c>
      <c r="V46" s="1">
        <f t="shared" si="25"/>
        <v>0</v>
      </c>
      <c r="Y46" s="6" t="str">
        <f t="shared" si="4"/>
        <v>sz000001</v>
      </c>
      <c r="Z46" s="5">
        <f t="shared" si="19"/>
        <v>1.56</v>
      </c>
    </row>
    <row r="47" spans="1:26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t="str">
        <f t="shared" si="6"/>
        <v>sh</v>
      </c>
      <c r="E47" t="s">
        <v>69</v>
      </c>
      <c r="F47" s="6" t="str">
        <f t="shared" si="0"/>
        <v>sh601318</v>
      </c>
      <c r="G47" s="5">
        <v>10.61</v>
      </c>
      <c r="H47" s="5">
        <f>IF(ISNA(VLOOKUP(B47,Sheet1!A:B,2,0)),0,VLOOKUP(B47,Sheet1!A:B,2,0))</f>
        <v>10.61</v>
      </c>
      <c r="I47">
        <f t="shared" si="16"/>
        <v>0</v>
      </c>
      <c r="J47" t="e">
        <f t="shared" si="23"/>
        <v>#N/A</v>
      </c>
      <c r="K47" t="str">
        <f t="shared" si="17"/>
        <v>sh601318</v>
      </c>
      <c r="L47" t="e">
        <f t="shared" si="24"/>
        <v>#N/A</v>
      </c>
      <c r="M47" s="3" t="e">
        <f t="shared" si="18"/>
        <v>#N/A</v>
      </c>
      <c r="P47"/>
      <c r="Q47" s="1" t="s">
        <v>147</v>
      </c>
      <c r="R47" s="1" t="s">
        <v>148</v>
      </c>
      <c r="S47" s="1" t="s">
        <v>149</v>
      </c>
      <c r="T47" s="1" t="s">
        <v>150</v>
      </c>
      <c r="U47" s="1" t="s">
        <v>151</v>
      </c>
      <c r="V47" s="1">
        <f t="shared" si="25"/>
        <v>0</v>
      </c>
      <c r="Y47" s="6" t="str">
        <f t="shared" si="4"/>
        <v>sh601318</v>
      </c>
      <c r="Z47" s="5">
        <f t="shared" si="19"/>
        <v>10.61</v>
      </c>
    </row>
    <row r="48" spans="1:26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t="s">
        <v>8931</v>
      </c>
      <c r="E48" s="2" t="s">
        <v>8934</v>
      </c>
      <c r="F48" s="6" t="str">
        <f t="shared" si="0"/>
        <v>sh600048</v>
      </c>
      <c r="G48" s="5">
        <v>1.39</v>
      </c>
      <c r="H48" s="5">
        <f>IF(ISNA(VLOOKUP(B48,Sheet1!A:B,2,0)),0,VLOOKUP(B48,Sheet1!A:B,2,0))</f>
        <v>1.37</v>
      </c>
      <c r="I48">
        <f t="shared" si="16"/>
        <v>-1.9999999999999796E-2</v>
      </c>
      <c r="J48" t="str">
        <f t="shared" si="23"/>
        <v>保利地产</v>
      </c>
      <c r="K48" t="str">
        <f t="shared" si="17"/>
        <v>sh600048</v>
      </c>
      <c r="L48" t="str">
        <f t="shared" si="24"/>
        <v>-6.02</v>
      </c>
      <c r="M48" s="3">
        <f t="shared" si="18"/>
        <v>-8.3677999999999989E-2</v>
      </c>
      <c r="P48"/>
      <c r="Q48" s="1" t="s">
        <v>147</v>
      </c>
      <c r="R48" s="1" t="s">
        <v>148</v>
      </c>
      <c r="S48" s="1" t="s">
        <v>149</v>
      </c>
      <c r="T48" s="1" t="s">
        <v>150</v>
      </c>
      <c r="U48" s="1" t="s">
        <v>151</v>
      </c>
      <c r="V48" s="1">
        <f t="shared" si="25"/>
        <v>-1.9999999999999796E-2</v>
      </c>
      <c r="Y48" s="6" t="str">
        <f t="shared" si="4"/>
        <v>sh600048</v>
      </c>
      <c r="Z48" s="5">
        <f t="shared" si="19"/>
        <v>1.37</v>
      </c>
    </row>
    <row r="49" spans="1:26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t="str">
        <f t="shared" si="6"/>
        <v>sh</v>
      </c>
      <c r="E49" t="s">
        <v>337</v>
      </c>
      <c r="F49" s="6" t="str">
        <f t="shared" si="0"/>
        <v>sh600104</v>
      </c>
      <c r="G49" s="5">
        <v>1.7</v>
      </c>
      <c r="H49" s="5">
        <f>IF(ISNA(VLOOKUP(B49,Sheet1!A:B,2,0)),0,VLOOKUP(B49,Sheet1!A:B,2,0))</f>
        <v>1.7</v>
      </c>
      <c r="I49">
        <f t="shared" si="16"/>
        <v>0</v>
      </c>
      <c r="J49" t="str">
        <f t="shared" si="23"/>
        <v>上汽集团</v>
      </c>
      <c r="K49" t="str">
        <f t="shared" si="17"/>
        <v>sh600104</v>
      </c>
      <c r="L49" t="str">
        <f t="shared" si="24"/>
        <v>-0.71</v>
      </c>
      <c r="M49" s="3">
        <f t="shared" si="18"/>
        <v>-1.2069999999999999E-2</v>
      </c>
      <c r="P49"/>
      <c r="Q49" s="1" t="s">
        <v>147</v>
      </c>
      <c r="R49" s="1" t="s">
        <v>148</v>
      </c>
      <c r="S49" s="1" t="s">
        <v>149</v>
      </c>
      <c r="T49" s="1" t="s">
        <v>150</v>
      </c>
      <c r="U49" s="1" t="s">
        <v>151</v>
      </c>
      <c r="V49" s="1">
        <f t="shared" si="25"/>
        <v>0</v>
      </c>
      <c r="Y49" s="6" t="str">
        <f t="shared" si="4"/>
        <v>sh600104</v>
      </c>
      <c r="Z49" s="5">
        <f t="shared" si="19"/>
        <v>1.7</v>
      </c>
    </row>
    <row r="50" spans="1:26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t="str">
        <f t="shared" si="6"/>
        <v>sh</v>
      </c>
      <c r="E50" t="s">
        <v>353</v>
      </c>
      <c r="F50" s="6" t="str">
        <f t="shared" si="0"/>
        <v>sh600018</v>
      </c>
      <c r="G50" s="5">
        <v>0.44</v>
      </c>
      <c r="H50" s="5">
        <f>IF(ISNA(VLOOKUP(B50,Sheet1!A:B,2,0)),0,VLOOKUP(B50,Sheet1!A:B,2,0))</f>
        <v>0.44</v>
      </c>
      <c r="I50">
        <f t="shared" si="16"/>
        <v>0</v>
      </c>
      <c r="J50" t="str">
        <f t="shared" si="23"/>
        <v>上港集团</v>
      </c>
      <c r="K50" t="str">
        <f t="shared" si="17"/>
        <v>sh600018</v>
      </c>
      <c r="L50" t="str">
        <f t="shared" si="24"/>
        <v>-5.88</v>
      </c>
      <c r="M50" s="3">
        <f t="shared" si="18"/>
        <v>-2.5872000000000003E-2</v>
      </c>
      <c r="P50"/>
      <c r="Q50" s="1" t="s">
        <v>147</v>
      </c>
      <c r="R50" s="1" t="s">
        <v>148</v>
      </c>
      <c r="S50" s="1" t="s">
        <v>149</v>
      </c>
      <c r="T50" s="1" t="s">
        <v>150</v>
      </c>
      <c r="U50" s="1" t="s">
        <v>151</v>
      </c>
      <c r="V50" s="1">
        <f t="shared" si="25"/>
        <v>0</v>
      </c>
      <c r="Y50" s="6" t="str">
        <f t="shared" si="4"/>
        <v>sh600018</v>
      </c>
      <c r="Z50" s="5">
        <f t="shared" si="19"/>
        <v>0.44</v>
      </c>
    </row>
    <row r="51" spans="1:26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t="str">
        <f t="shared" si="6"/>
        <v>sh</v>
      </c>
      <c r="E51" t="s">
        <v>360</v>
      </c>
      <c r="F51" s="6" t="str">
        <f t="shared" si="0"/>
        <v>sh600000</v>
      </c>
      <c r="G51" s="5">
        <v>4.04</v>
      </c>
      <c r="H51" s="5">
        <f>IF(ISNA(VLOOKUP(B51,Sheet1!A:B,2,0)),0,VLOOKUP(B51,Sheet1!A:B,2,0))</f>
        <v>4.04</v>
      </c>
      <c r="I51">
        <f t="shared" si="16"/>
        <v>0</v>
      </c>
      <c r="J51" t="str">
        <f t="shared" si="23"/>
        <v>浦发银行</v>
      </c>
      <c r="K51" t="str">
        <f t="shared" si="17"/>
        <v>sh600000</v>
      </c>
      <c r="L51" t="str">
        <f t="shared" si="24"/>
        <v>-1.90</v>
      </c>
      <c r="M51" s="3">
        <f t="shared" si="18"/>
        <v>-7.6759999999999995E-2</v>
      </c>
      <c r="P51"/>
      <c r="Q51" s="1" t="s">
        <v>147</v>
      </c>
      <c r="R51" s="1" t="s">
        <v>148</v>
      </c>
      <c r="S51" s="1" t="s">
        <v>149</v>
      </c>
      <c r="T51" s="1" t="s">
        <v>150</v>
      </c>
      <c r="U51" s="1" t="s">
        <v>151</v>
      </c>
      <c r="V51" s="1">
        <f t="shared" si="25"/>
        <v>0</v>
      </c>
      <c r="Y51" s="6" t="str">
        <f t="shared" si="4"/>
        <v>sh600000</v>
      </c>
      <c r="Z51" s="5">
        <f t="shared" si="19"/>
        <v>4.04</v>
      </c>
    </row>
    <row r="52" spans="1:26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2" t="s">
        <v>8996</v>
      </c>
      <c r="E52" s="2" t="s">
        <v>8922</v>
      </c>
      <c r="F52" s="6" t="str">
        <f t="shared" ref="F52" si="26">D52&amp;E52</f>
        <v>sz000858</v>
      </c>
      <c r="G52" s="5">
        <v>2.2599999999999998</v>
      </c>
      <c r="H52" s="5">
        <f>IF(ISNA(VLOOKUP(B52,Sheet1!A:B,2,0)),0,VLOOKUP(B52,Sheet1!A:B,2,0))</f>
        <v>2.27</v>
      </c>
      <c r="I52">
        <f t="shared" si="16"/>
        <v>1.0000000000000231E-2</v>
      </c>
      <c r="J52" t="str">
        <f t="shared" si="23"/>
        <v>五 粮 液</v>
      </c>
      <c r="K52" t="str">
        <f t="shared" si="17"/>
        <v>sz000858</v>
      </c>
      <c r="L52" t="str">
        <f t="shared" si="24"/>
        <v>-2.88</v>
      </c>
      <c r="M52" s="3">
        <f t="shared" si="18"/>
        <v>-6.5087999999999993E-2</v>
      </c>
      <c r="P52"/>
      <c r="Q52" s="1" t="s">
        <v>147</v>
      </c>
      <c r="R52" s="1" t="s">
        <v>148</v>
      </c>
      <c r="S52" s="1" t="s">
        <v>149</v>
      </c>
      <c r="T52" s="1" t="s">
        <v>150</v>
      </c>
      <c r="U52" s="1" t="s">
        <v>151</v>
      </c>
      <c r="V52" s="1">
        <f t="shared" si="25"/>
        <v>1.0000000000000231E-2</v>
      </c>
      <c r="Y52" s="6" t="str">
        <f t="shared" si="4"/>
        <v>sz000858</v>
      </c>
      <c r="Z52" s="5">
        <f t="shared" si="19"/>
        <v>2.27</v>
      </c>
    </row>
    <row r="55" spans="1:26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6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6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6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6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6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6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6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6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6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26</xdr:col>
                    <xdr:colOff>428625</xdr:colOff>
                    <xdr:row>11</xdr:row>
                    <xdr:rowOff>19050</xdr:rowOff>
                  </from>
                  <to>
                    <xdr:col>28</xdr:col>
                    <xdr:colOff>209550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26</xdr:col>
                    <xdr:colOff>447675</xdr:colOff>
                    <xdr:row>6</xdr:row>
                    <xdr:rowOff>133350</xdr:rowOff>
                  </from>
                  <to>
                    <xdr:col>28</xdr:col>
                    <xdr:colOff>257175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26</xdr:col>
                    <xdr:colOff>457200</xdr:colOff>
                    <xdr:row>4</xdr:row>
                    <xdr:rowOff>142875</xdr:rowOff>
                  </from>
                  <to>
                    <xdr:col>28</xdr:col>
                    <xdr:colOff>285750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26</xdr:col>
                    <xdr:colOff>428625</xdr:colOff>
                    <xdr:row>13</xdr:row>
                    <xdr:rowOff>114300</xdr:rowOff>
                  </from>
                  <to>
                    <xdr:col>28</xdr:col>
                    <xdr:colOff>247650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26</xdr:col>
                    <xdr:colOff>523875</xdr:colOff>
                    <xdr:row>0</xdr:row>
                    <xdr:rowOff>114300</xdr:rowOff>
                  </from>
                  <to>
                    <xdr:col>28</xdr:col>
                    <xdr:colOff>190500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1"/>
  <sheetViews>
    <sheetView workbookViewId="0">
      <selection activeCell="B17" sqref="B17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</row>
    <row r="2" spans="1: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</row>
    <row r="3" spans="1: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0">D3&amp;E3</f>
        <v>sh601169</v>
      </c>
    </row>
    <row r="4" spans="1: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0"/>
        <v>sh601988</v>
      </c>
    </row>
    <row r="5" spans="1: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0"/>
        <v>sh601328</v>
      </c>
    </row>
    <row r="6" spans="1: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0"/>
        <v>sz002594</v>
      </c>
    </row>
    <row r="7" spans="1: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0"/>
        <v>sh601998</v>
      </c>
    </row>
    <row r="8" spans="1: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0"/>
        <v>sh601800</v>
      </c>
    </row>
    <row r="9" spans="1: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0"/>
        <v>sh601939</v>
      </c>
    </row>
    <row r="10" spans="1: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0"/>
        <v>sh601818</v>
      </c>
    </row>
    <row r="11" spans="1: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0"/>
        <v>sh601628</v>
      </c>
    </row>
    <row r="12" spans="1: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0"/>
        <v>sh600036</v>
      </c>
    </row>
    <row r="13" spans="1: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0"/>
        <v>sz001979</v>
      </c>
    </row>
    <row r="14" spans="1: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0"/>
        <v>sh600016</v>
      </c>
    </row>
    <row r="15" spans="1: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0"/>
        <v>sh601985</v>
      </c>
    </row>
    <row r="16" spans="1: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0"/>
        <v>sh601601</v>
      </c>
    </row>
    <row r="17" spans="1: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0"/>
        <v>sh600028</v>
      </c>
    </row>
    <row r="18" spans="1: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0"/>
        <v>sh601186</v>
      </c>
    </row>
    <row r="19" spans="1: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0"/>
        <v>sh601390</v>
      </c>
    </row>
    <row r="20" spans="1: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0"/>
        <v>sh601088</v>
      </c>
    </row>
    <row r="21" spans="1: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0"/>
        <v>sh601989</v>
      </c>
    </row>
    <row r="22" spans="1: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0"/>
        <v>sh601668</v>
      </c>
    </row>
    <row r="23" spans="1: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0"/>
        <v>sh600900</v>
      </c>
    </row>
    <row r="24" spans="1: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0"/>
        <v>sh600030</v>
      </c>
    </row>
    <row r="25" spans="1: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0"/>
        <v>sh601766</v>
      </c>
    </row>
    <row r="26" spans="1: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0"/>
        <v>sh601006</v>
      </c>
    </row>
    <row r="27" spans="1: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0"/>
        <v>sz002027</v>
      </c>
    </row>
    <row r="28" spans="1: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0"/>
        <v>sz000776</v>
      </c>
    </row>
    <row r="29" spans="1: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0"/>
        <v>sh600606</v>
      </c>
    </row>
    <row r="30" spans="1: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0"/>
        <v>sh601238</v>
      </c>
    </row>
    <row r="31" spans="1: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0"/>
        <v>sz002736</v>
      </c>
    </row>
    <row r="32" spans="1: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0"/>
        <v>sh601211</v>
      </c>
    </row>
    <row r="33" spans="1: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0"/>
        <v>sh600837</v>
      </c>
    </row>
    <row r="34" spans="1: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0"/>
        <v>sz002415</v>
      </c>
    </row>
    <row r="35" spans="1: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0"/>
        <v>sh601688</v>
      </c>
    </row>
    <row r="36" spans="1: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0"/>
        <v>sh601398</v>
      </c>
    </row>
    <row r="37" spans="1: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0"/>
        <v>sh601166</v>
      </c>
    </row>
    <row r="38" spans="1: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0"/>
        <v>sz002304</v>
      </c>
    </row>
    <row r="39" spans="1: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0"/>
        <v>sh600519</v>
      </c>
    </row>
    <row r="40" spans="1: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0"/>
        <v>sz000333</v>
      </c>
    </row>
    <row r="41" spans="1: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0"/>
        <v>sh601336</v>
      </c>
    </row>
    <row r="42" spans="1: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0"/>
        <v>sh601857</v>
      </c>
    </row>
    <row r="43" spans="1: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0"/>
        <v>sz000001</v>
      </c>
    </row>
    <row r="44" spans="1: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0"/>
        <v>sh601318</v>
      </c>
    </row>
    <row r="45" spans="1: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0"/>
        <v>sh600048</v>
      </c>
    </row>
    <row r="46" spans="1: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0"/>
        <v>sh600104</v>
      </c>
    </row>
    <row r="47" spans="1: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0"/>
        <v>sh600018</v>
      </c>
    </row>
    <row r="48" spans="1: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0"/>
        <v>sh600000</v>
      </c>
    </row>
    <row r="49" spans="1: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0"/>
        <v>sz002252</v>
      </c>
    </row>
    <row r="50" spans="1: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0"/>
        <v>sz000166</v>
      </c>
    </row>
    <row r="51" spans="1: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0"/>
        <v>sz000858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2.84</v>
      </c>
      <c r="C2" s="4">
        <f>VLOOKUP(A2,Current!B:H,7,0)</f>
        <v>2.84</v>
      </c>
    </row>
    <row r="3" spans="1:3" x14ac:dyDescent="0.15">
      <c r="A3" s="10" t="s">
        <v>8952</v>
      </c>
      <c r="B3" s="11">
        <v>1.96</v>
      </c>
      <c r="C3" s="4">
        <f>VLOOKUP(A3,Current!B:H,7,0)</f>
        <v>1.96</v>
      </c>
    </row>
    <row r="4" spans="1:3" x14ac:dyDescent="0.15">
      <c r="A4" s="10" t="s">
        <v>8992</v>
      </c>
      <c r="B4" s="11">
        <v>2.5299999999999998</v>
      </c>
      <c r="C4" s="4">
        <f>VLOOKUP(A4,Current!B:H,7,0)</f>
        <v>2.5299999999999998</v>
      </c>
    </row>
    <row r="5" spans="1:3" x14ac:dyDescent="0.15">
      <c r="A5" s="10" t="s">
        <v>8973</v>
      </c>
      <c r="B5" s="11">
        <v>2.2599999999999998</v>
      </c>
      <c r="C5" s="4">
        <f>VLOOKUP(A5,Current!B:H,7,0)</f>
        <v>2.2599999999999998</v>
      </c>
    </row>
    <row r="6" spans="1:3" x14ac:dyDescent="0.15">
      <c r="A6" s="10" t="s">
        <v>8953</v>
      </c>
      <c r="B6" s="11">
        <v>1.3</v>
      </c>
      <c r="C6" s="4">
        <f>VLOOKUP(A6,Current!B:H,7,0)</f>
        <v>1.3</v>
      </c>
    </row>
    <row r="7" spans="1:3" x14ac:dyDescent="0.15">
      <c r="A7" s="10" t="s">
        <v>8962</v>
      </c>
      <c r="B7" s="11">
        <v>5.27</v>
      </c>
      <c r="C7" s="4">
        <f>VLOOKUP(A7,Current!B:H,7,0)</f>
        <v>5.27</v>
      </c>
    </row>
    <row r="8" spans="1:3" x14ac:dyDescent="0.15">
      <c r="A8" s="10" t="s">
        <v>8944</v>
      </c>
      <c r="B8" s="11">
        <v>1.78</v>
      </c>
      <c r="C8" s="4">
        <f>VLOOKUP(A8,Current!B:H,7,0)</f>
        <v>1.78</v>
      </c>
    </row>
    <row r="9" spans="1:3" x14ac:dyDescent="0.15">
      <c r="A9" s="10" t="s">
        <v>8954</v>
      </c>
      <c r="B9" s="11">
        <v>1.07</v>
      </c>
      <c r="C9" s="4">
        <f>VLOOKUP(A9,Current!B:H,7,0)</f>
        <v>1.07</v>
      </c>
    </row>
    <row r="10" spans="1:3" x14ac:dyDescent="0.15">
      <c r="A10" s="10" t="s">
        <v>9020</v>
      </c>
      <c r="B10" s="11">
        <v>1.42</v>
      </c>
      <c r="C10" s="4">
        <f>VLOOKUP(A10,Current!B:H,7,0)</f>
        <v>1.42</v>
      </c>
    </row>
    <row r="11" spans="1:3" x14ac:dyDescent="0.15">
      <c r="A11" s="10" t="s">
        <v>8975</v>
      </c>
      <c r="B11" s="11">
        <v>2.82</v>
      </c>
      <c r="C11" s="4">
        <f>VLOOKUP(A11,Current!B:H,7,0)</f>
        <v>2.82</v>
      </c>
    </row>
    <row r="12" spans="1:3" x14ac:dyDescent="0.15">
      <c r="A12" s="10" t="s">
        <v>8955</v>
      </c>
      <c r="B12" s="11">
        <v>1.04</v>
      </c>
      <c r="C12" s="4">
        <f>VLOOKUP(A12,Current!B:H,7,0)</f>
        <v>1.04</v>
      </c>
    </row>
    <row r="13" spans="1:3" x14ac:dyDescent="0.15">
      <c r="A13" s="10" t="s">
        <v>8974</v>
      </c>
      <c r="B13" s="11">
        <v>0.9</v>
      </c>
      <c r="C13" s="4">
        <f>VLOOKUP(A13,Current!B:H,7,0)</f>
        <v>0.9</v>
      </c>
    </row>
    <row r="14" spans="1:3" x14ac:dyDescent="0.15">
      <c r="A14" s="10" t="s">
        <v>9013</v>
      </c>
      <c r="B14" s="11">
        <v>0.36</v>
      </c>
      <c r="C14" s="4">
        <f>VLOOKUP(A14,Current!B:H,7,0)</f>
        <v>0.36</v>
      </c>
    </row>
    <row r="15" spans="1:3" x14ac:dyDescent="0.15">
      <c r="A15" s="10" t="s">
        <v>8956</v>
      </c>
      <c r="B15" s="11">
        <v>1.02</v>
      </c>
      <c r="C15" s="4">
        <f>VLOOKUP(A15,Current!B:H,7,0)</f>
        <v>1.02</v>
      </c>
    </row>
    <row r="16" spans="1:3" x14ac:dyDescent="0.15">
      <c r="A16" s="10" t="s">
        <v>8963</v>
      </c>
      <c r="B16" s="11">
        <v>4.9400000000000004</v>
      </c>
      <c r="C16" s="4">
        <f>VLOOKUP(A16,Current!B:H,7,0)</f>
        <v>4.9400000000000004</v>
      </c>
    </row>
    <row r="17" spans="1:4" x14ac:dyDescent="0.15">
      <c r="A17" s="10" t="s">
        <v>9021</v>
      </c>
      <c r="B17" s="11">
        <v>0.8</v>
      </c>
      <c r="C17" s="4">
        <f>VLOOKUP(A17,Current!B:H,7,0)</f>
        <v>0.8</v>
      </c>
      <c r="D17" s="4" t="s">
        <v>9032</v>
      </c>
    </row>
    <row r="18" spans="1:4" x14ac:dyDescent="0.15">
      <c r="A18" s="10" t="s">
        <v>8957</v>
      </c>
      <c r="B18" s="11">
        <v>1.26</v>
      </c>
      <c r="C18" s="4">
        <f>VLOOKUP(A18,Current!B:H,7,0)</f>
        <v>1.26</v>
      </c>
    </row>
    <row r="19" spans="1:4" x14ac:dyDescent="0.15">
      <c r="A19" s="10" t="s">
        <v>8964</v>
      </c>
      <c r="B19" s="11">
        <v>3.59</v>
      </c>
      <c r="C19" s="4">
        <f>VLOOKUP(A19,Current!B:H,7,0)</f>
        <v>3.59</v>
      </c>
    </row>
    <row r="20" spans="1:4" x14ac:dyDescent="0.15">
      <c r="A20" s="10" t="s">
        <v>9022</v>
      </c>
      <c r="B20" s="11">
        <v>1.98</v>
      </c>
      <c r="C20" s="4">
        <f>VLOOKUP(A20,Current!B:H,7,0)</f>
        <v>1.98</v>
      </c>
      <c r="D20" s="4" t="s">
        <v>9033</v>
      </c>
    </row>
    <row r="21" spans="1:4" x14ac:dyDescent="0.15">
      <c r="A21" s="10" t="s">
        <v>8958</v>
      </c>
      <c r="B21" s="11">
        <v>2.7</v>
      </c>
      <c r="C21" s="4">
        <f>VLOOKUP(A21,Current!B:H,7,0)</f>
        <v>2.7</v>
      </c>
    </row>
    <row r="22" spans="1:4" x14ac:dyDescent="0.15">
      <c r="A22" s="10" t="s">
        <v>8965</v>
      </c>
      <c r="B22" s="11">
        <v>0.67</v>
      </c>
      <c r="C22" s="4">
        <f>VLOOKUP(A22,Current!B:H,7,0)</f>
        <v>0.67</v>
      </c>
    </row>
    <row r="23" spans="1:4" x14ac:dyDescent="0.15">
      <c r="A23" s="10" t="s">
        <v>8945</v>
      </c>
      <c r="B23" s="11">
        <v>0.65</v>
      </c>
      <c r="C23" s="4">
        <f>VLOOKUP(A23,Current!B:H,7,0)</f>
        <v>0.65</v>
      </c>
    </row>
    <row r="24" spans="1:4" x14ac:dyDescent="0.15">
      <c r="A24" s="10" t="s">
        <v>9014</v>
      </c>
      <c r="B24" s="11">
        <v>1.32</v>
      </c>
      <c r="C24" s="4">
        <f>VLOOKUP(A24,Current!B:H,7,0)</f>
        <v>1.32</v>
      </c>
    </row>
    <row r="25" spans="1:4" x14ac:dyDescent="0.15">
      <c r="A25" s="10" t="s">
        <v>8966</v>
      </c>
      <c r="B25" s="11">
        <v>0.72</v>
      </c>
      <c r="C25" s="4">
        <f>VLOOKUP(A25,Current!B:H,7,0)</f>
        <v>0.72</v>
      </c>
    </row>
    <row r="26" spans="1:4" x14ac:dyDescent="0.15">
      <c r="A26" s="10" t="s">
        <v>8946</v>
      </c>
      <c r="B26" s="11">
        <v>0.39</v>
      </c>
      <c r="C26" s="4">
        <f>VLOOKUP(A26,Current!B:H,7,0)</f>
        <v>0.39</v>
      </c>
    </row>
    <row r="27" spans="1:4" x14ac:dyDescent="0.15">
      <c r="A27" s="10" t="s">
        <v>8976</v>
      </c>
      <c r="B27" s="11">
        <v>1.37</v>
      </c>
      <c r="C27" s="4">
        <f>VLOOKUP(A27,Current!B:H,7,0)</f>
        <v>1.37</v>
      </c>
    </row>
    <row r="28" spans="1:4" x14ac:dyDescent="0.15">
      <c r="A28" s="10" t="s">
        <v>8967</v>
      </c>
      <c r="B28" s="11">
        <v>1.56</v>
      </c>
      <c r="C28" s="4">
        <f>VLOOKUP(A28,Current!B:H,7,0)</f>
        <v>1.56</v>
      </c>
    </row>
    <row r="29" spans="1:4" x14ac:dyDescent="0.15">
      <c r="A29" s="10" t="s">
        <v>8978</v>
      </c>
      <c r="B29" s="11">
        <v>0.52</v>
      </c>
      <c r="C29" s="4">
        <f>VLOOKUP(A29,Current!B:H,7,0)</f>
        <v>0.52</v>
      </c>
    </row>
    <row r="30" spans="1:4" x14ac:dyDescent="0.15">
      <c r="A30" s="10" t="s">
        <v>8977</v>
      </c>
      <c r="B30" s="11">
        <v>3.07</v>
      </c>
      <c r="C30" s="4">
        <f>VLOOKUP(A30,Current!B:H,7,0)</f>
        <v>3.07</v>
      </c>
    </row>
    <row r="31" spans="1:4" x14ac:dyDescent="0.15">
      <c r="A31" s="10" t="s">
        <v>8940</v>
      </c>
      <c r="B31" s="11">
        <v>10.61</v>
      </c>
      <c r="C31" s="4">
        <f>VLOOKUP(A31,Current!B:H,7,0)</f>
        <v>10.61</v>
      </c>
    </row>
    <row r="32" spans="1:4" x14ac:dyDescent="0.15">
      <c r="A32" s="10" t="s">
        <v>8947</v>
      </c>
      <c r="B32" s="11">
        <v>1.32</v>
      </c>
      <c r="C32" s="4">
        <f>VLOOKUP(A32,Current!B:H,7,0)</f>
        <v>1.32</v>
      </c>
    </row>
    <row r="33" spans="1:3" x14ac:dyDescent="0.15">
      <c r="A33" s="10" t="s">
        <v>8959</v>
      </c>
      <c r="B33" s="11">
        <v>1.92</v>
      </c>
      <c r="C33" s="4">
        <f>VLOOKUP(A33,Current!B:H,7,0)</f>
        <v>1.92</v>
      </c>
    </row>
    <row r="34" spans="1:3" x14ac:dyDescent="0.15">
      <c r="A34" s="10" t="s">
        <v>8948</v>
      </c>
      <c r="B34" s="11">
        <v>1.29</v>
      </c>
      <c r="C34" s="4">
        <f>VLOOKUP(A34,Current!B:H,7,0)</f>
        <v>1.29</v>
      </c>
    </row>
    <row r="35" spans="1:3" x14ac:dyDescent="0.15">
      <c r="A35" s="10" t="s">
        <v>8979</v>
      </c>
      <c r="B35" s="11">
        <v>1.27</v>
      </c>
      <c r="C35" s="4">
        <f>VLOOKUP(A35,Current!B:H,7,0)</f>
        <v>1.27</v>
      </c>
    </row>
    <row r="36" spans="1:3" x14ac:dyDescent="0.15">
      <c r="A36" s="10" t="s">
        <v>8980</v>
      </c>
      <c r="B36" s="11">
        <v>1.37</v>
      </c>
      <c r="C36" s="4">
        <f>VLOOKUP(A36,Current!B:H,7,0)</f>
        <v>1.37</v>
      </c>
    </row>
    <row r="37" spans="1:3" x14ac:dyDescent="0.15">
      <c r="A37" s="10" t="s">
        <v>8949</v>
      </c>
      <c r="B37" s="11">
        <v>0.91</v>
      </c>
      <c r="C37" s="4">
        <f>VLOOKUP(A37,Current!B:H,7,0)</f>
        <v>0.91</v>
      </c>
    </row>
    <row r="38" spans="1:3" x14ac:dyDescent="0.15">
      <c r="A38" s="10" t="s">
        <v>8961</v>
      </c>
      <c r="B38" s="11">
        <v>1</v>
      </c>
      <c r="C38" s="4">
        <f>VLOOKUP(A38,Current!B:H,7,0)</f>
        <v>1</v>
      </c>
    </row>
    <row r="39" spans="1:3" x14ac:dyDescent="0.15">
      <c r="A39" s="10" t="s">
        <v>8982</v>
      </c>
      <c r="B39" s="11">
        <v>1.7</v>
      </c>
      <c r="C39" s="4">
        <f>VLOOKUP(A39,Current!B:H,7,0)</f>
        <v>1.7</v>
      </c>
    </row>
    <row r="40" spans="1:3" x14ac:dyDescent="0.15">
      <c r="A40" s="10" t="s">
        <v>8950</v>
      </c>
      <c r="B40" s="11">
        <v>6.61</v>
      </c>
      <c r="C40" s="4">
        <f>VLOOKUP(A40,Current!B:H,7,0)</f>
        <v>6.61</v>
      </c>
    </row>
    <row r="41" spans="1:3" x14ac:dyDescent="0.15">
      <c r="A41" s="10" t="s">
        <v>8983</v>
      </c>
      <c r="B41" s="11">
        <v>0.33</v>
      </c>
      <c r="C41" s="4">
        <f>VLOOKUP(A41,Current!B:H,7,0)</f>
        <v>0.33</v>
      </c>
    </row>
    <row r="42" spans="1:3" x14ac:dyDescent="0.15">
      <c r="A42" s="10" t="s">
        <v>8984</v>
      </c>
      <c r="B42" s="11">
        <v>0.44</v>
      </c>
      <c r="C42" s="4">
        <f>VLOOKUP(A42,Current!B:H,7,0)</f>
        <v>0.44</v>
      </c>
    </row>
    <row r="43" spans="1:3" x14ac:dyDescent="0.15">
      <c r="A43" s="10" t="s">
        <v>8941</v>
      </c>
      <c r="B43" s="11">
        <v>1.05</v>
      </c>
      <c r="C43" s="4">
        <f>VLOOKUP(A43,Current!B:H,7,0)</f>
        <v>1.05</v>
      </c>
    </row>
    <row r="44" spans="1:3" x14ac:dyDescent="0.15">
      <c r="A44" s="10" t="s">
        <v>8986</v>
      </c>
      <c r="B44" s="11">
        <v>1.56</v>
      </c>
      <c r="C44" s="4">
        <f>VLOOKUP(A44,Current!B:H,7,0)</f>
        <v>1.56</v>
      </c>
    </row>
    <row r="45" spans="1:3" x14ac:dyDescent="0.15">
      <c r="A45" s="10" t="s">
        <v>8968</v>
      </c>
      <c r="B45" s="11">
        <v>4.04</v>
      </c>
      <c r="C45" s="4">
        <f>VLOOKUP(A45,Current!B:H,7,0)</f>
        <v>4.04</v>
      </c>
    </row>
    <row r="46" spans="1:3" x14ac:dyDescent="0.15">
      <c r="A46" s="10" t="s">
        <v>8988</v>
      </c>
      <c r="B46" s="11">
        <v>2.0499999999999998</v>
      </c>
      <c r="C46" s="4">
        <f>VLOOKUP(A46,Current!B:H,7,0)</f>
        <v>2.0499999999999998</v>
      </c>
    </row>
    <row r="47" spans="1:3" x14ac:dyDescent="0.15">
      <c r="A47" s="10" t="s">
        <v>8990</v>
      </c>
      <c r="B47" s="11">
        <v>2.27</v>
      </c>
      <c r="C47" s="4">
        <f>VLOOKUP(A47,Current!B:H,7,0)</f>
        <v>2.27</v>
      </c>
    </row>
    <row r="48" spans="1:3" x14ac:dyDescent="0.15">
      <c r="A48" s="10" t="s">
        <v>8951</v>
      </c>
      <c r="B48" s="11">
        <v>4.3499999999999996</v>
      </c>
      <c r="C48" s="4">
        <f>VLOOKUP(A48,Current!B:H,7,0)</f>
        <v>4.3499999999999996</v>
      </c>
    </row>
    <row r="49" spans="1:3" x14ac:dyDescent="0.15">
      <c r="A49" s="10" t="s">
        <v>8989</v>
      </c>
      <c r="B49" s="11">
        <v>2.0299999999999998</v>
      </c>
      <c r="C49" s="4">
        <f>VLOOKUP(A49,Current!B:H,7,0)</f>
        <v>2.0299999999999998</v>
      </c>
    </row>
    <row r="50" spans="1:3" x14ac:dyDescent="0.15">
      <c r="A50" s="10" t="s">
        <v>8987</v>
      </c>
      <c r="B50" s="11">
        <v>0.7</v>
      </c>
      <c r="C50" s="4">
        <f>VLOOKUP(A50,Current!B:H,7,0)</f>
        <v>0.7</v>
      </c>
    </row>
    <row r="51" spans="1:3" x14ac:dyDescent="0.15">
      <c r="A51" s="10" t="s">
        <v>8991</v>
      </c>
      <c r="B51" s="11">
        <v>1.0900000000000001</v>
      </c>
      <c r="C51" s="4">
        <f>VLOOKUP(A51,Current!B:H,7,0)</f>
        <v>1.0900000000000001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2017-06-29T00:55:07Z</dcterms:modified>
</cp:coreProperties>
</file>