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4" i="3" l="1"/>
  <c r="V4" i="3" s="1"/>
  <c r="H5" i="3"/>
  <c r="V5" i="3" s="1"/>
  <c r="H6" i="3"/>
  <c r="V6" i="3" s="1"/>
  <c r="H7" i="3"/>
  <c r="V7" i="3" s="1"/>
  <c r="H8" i="3"/>
  <c r="V8" i="3" s="1"/>
  <c r="H9" i="3"/>
  <c r="V9" i="3" s="1"/>
  <c r="H10" i="3"/>
  <c r="V10" i="3" s="1"/>
  <c r="H11" i="3"/>
  <c r="V11" i="3" s="1"/>
  <c r="H12" i="3"/>
  <c r="V12" i="3" s="1"/>
  <c r="H13" i="3"/>
  <c r="V13" i="3" s="1"/>
  <c r="H14" i="3"/>
  <c r="V14" i="3" s="1"/>
  <c r="H15" i="3"/>
  <c r="V15" i="3" s="1"/>
  <c r="H16" i="3"/>
  <c r="V16" i="3" s="1"/>
  <c r="H17" i="3"/>
  <c r="V17" i="3" s="1"/>
  <c r="H18" i="3"/>
  <c r="V18" i="3" s="1"/>
  <c r="H19" i="3"/>
  <c r="V19" i="3" s="1"/>
  <c r="H20" i="3"/>
  <c r="V20" i="3" s="1"/>
  <c r="H21" i="3"/>
  <c r="V21" i="3" s="1"/>
  <c r="H22" i="3"/>
  <c r="V22" i="3" s="1"/>
  <c r="H23" i="3"/>
  <c r="V23" i="3" s="1"/>
  <c r="H24" i="3"/>
  <c r="V24" i="3" s="1"/>
  <c r="H25" i="3"/>
  <c r="V25" i="3" s="1"/>
  <c r="H26" i="3"/>
  <c r="V26" i="3" s="1"/>
  <c r="H27" i="3"/>
  <c r="V27" i="3" s="1"/>
  <c r="H28" i="3"/>
  <c r="V28" i="3" s="1"/>
  <c r="H29" i="3"/>
  <c r="V29" i="3" s="1"/>
  <c r="H30" i="3"/>
  <c r="V30" i="3" s="1"/>
  <c r="H31" i="3"/>
  <c r="V31" i="3" s="1"/>
  <c r="H32" i="3"/>
  <c r="V32" i="3" s="1"/>
  <c r="H33" i="3"/>
  <c r="V33" i="3" s="1"/>
  <c r="H34" i="3"/>
  <c r="V34" i="3" s="1"/>
  <c r="H35" i="3"/>
  <c r="V35" i="3" s="1"/>
  <c r="H36" i="3"/>
  <c r="V36" i="3" s="1"/>
  <c r="H37" i="3"/>
  <c r="V37" i="3" s="1"/>
  <c r="H38" i="3"/>
  <c r="V38" i="3" s="1"/>
  <c r="H39" i="3"/>
  <c r="V39" i="3" s="1"/>
  <c r="H40" i="3"/>
  <c r="V40" i="3" s="1"/>
  <c r="H41" i="3"/>
  <c r="V41" i="3" s="1"/>
  <c r="H42" i="3"/>
  <c r="V42" i="3" s="1"/>
  <c r="H43" i="3"/>
  <c r="V43" i="3" s="1"/>
  <c r="H44" i="3"/>
  <c r="V44" i="3" s="1"/>
  <c r="H45" i="3"/>
  <c r="V45" i="3" s="1"/>
  <c r="H46" i="3"/>
  <c r="V46" i="3" s="1"/>
  <c r="H47" i="3"/>
  <c r="V47" i="3" s="1"/>
  <c r="H48" i="3"/>
  <c r="V48" i="3" s="1"/>
  <c r="H49" i="3"/>
  <c r="V49" i="3" s="1"/>
  <c r="H50" i="3"/>
  <c r="V50" i="3" s="1"/>
  <c r="H51" i="3"/>
  <c r="V51" i="3" s="1"/>
  <c r="H52" i="3"/>
  <c r="V52" i="3" s="1"/>
  <c r="H3" i="3"/>
  <c r="C2" i="2" s="1"/>
  <c r="A7" i="3"/>
  <c r="A25" i="3"/>
  <c r="F7" i="3"/>
  <c r="Y7" i="3" s="1"/>
  <c r="J7" i="3"/>
  <c r="K7" i="3"/>
  <c r="L7" i="3"/>
  <c r="M7" i="3" s="1"/>
  <c r="F25" i="3"/>
  <c r="Y25" i="3" s="1"/>
  <c r="J25" i="3"/>
  <c r="K25" i="3"/>
  <c r="L25" i="3"/>
  <c r="M25" i="3" s="1"/>
  <c r="AB22" i="3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5" i="3"/>
  <c r="C47" i="2"/>
  <c r="C41" i="2"/>
  <c r="C28" i="2"/>
  <c r="C8" i="2"/>
  <c r="C50" i="2"/>
  <c r="C45" i="2"/>
  <c r="C37" i="2"/>
  <c r="C33" i="2"/>
  <c r="C26" i="2"/>
  <c r="C20" i="2"/>
  <c r="C12" i="2"/>
  <c r="C7" i="2"/>
  <c r="Z25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17" i="2"/>
  <c r="C25" i="2"/>
  <c r="C13" i="2"/>
  <c r="C39" i="2"/>
  <c r="C14" i="2"/>
  <c r="Z7" i="3"/>
  <c r="I24" i="3"/>
  <c r="J24" i="3"/>
  <c r="L24" i="3"/>
  <c r="M24" i="3" s="1"/>
  <c r="I26" i="3"/>
  <c r="J26" i="3"/>
  <c r="K26" i="3"/>
  <c r="L26" i="3"/>
  <c r="M26" i="3" s="1"/>
  <c r="I27" i="3"/>
  <c r="J27" i="3"/>
  <c r="L27" i="3"/>
  <c r="M27" i="3" s="1"/>
  <c r="J28" i="3"/>
  <c r="L28" i="3"/>
  <c r="M28" i="3" s="1"/>
  <c r="J29" i="3"/>
  <c r="K29" i="3"/>
  <c r="L29" i="3"/>
  <c r="M29" i="3" s="1"/>
  <c r="I30" i="3"/>
  <c r="J30" i="3"/>
  <c r="L30" i="3"/>
  <c r="M30" i="3" s="1"/>
  <c r="J31" i="3"/>
  <c r="K31" i="3"/>
  <c r="L31" i="3"/>
  <c r="M31" i="3" s="1"/>
  <c r="I32" i="3"/>
  <c r="J32" i="3"/>
  <c r="K32" i="3"/>
  <c r="L32" i="3"/>
  <c r="M32" i="3" s="1"/>
  <c r="J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0" i="3"/>
  <c r="J40" i="3"/>
  <c r="K40" i="3"/>
  <c r="L40" i="3"/>
  <c r="M40" i="3" s="1"/>
  <c r="J41" i="3"/>
  <c r="L41" i="3"/>
  <c r="M41" i="3" s="1"/>
  <c r="I42" i="3"/>
  <c r="J42" i="3"/>
  <c r="L42" i="3"/>
  <c r="M42" i="3" s="1"/>
  <c r="I43" i="3"/>
  <c r="J43" i="3"/>
  <c r="L43" i="3"/>
  <c r="M43" i="3" s="1"/>
  <c r="I44" i="3"/>
  <c r="J44" i="3"/>
  <c r="L44" i="3"/>
  <c r="M44" i="3" s="1"/>
  <c r="J45" i="3"/>
  <c r="L45" i="3"/>
  <c r="M45" i="3" s="1"/>
  <c r="I46" i="3"/>
  <c r="J46" i="3"/>
  <c r="L46" i="3"/>
  <c r="M46" i="3" s="1"/>
  <c r="J47" i="3"/>
  <c r="K47" i="3"/>
  <c r="L47" i="3"/>
  <c r="M47" i="3" s="1"/>
  <c r="I48" i="3"/>
  <c r="J48" i="3"/>
  <c r="L48" i="3"/>
  <c r="M48" i="3" s="1"/>
  <c r="J49" i="3"/>
  <c r="L49" i="3"/>
  <c r="M49" i="3" s="1"/>
  <c r="I50" i="3"/>
  <c r="J50" i="3"/>
  <c r="L50" i="3"/>
  <c r="M50" i="3" s="1"/>
  <c r="I51" i="3"/>
  <c r="J51" i="3"/>
  <c r="K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1" i="3" l="1"/>
  <c r="I52" i="3"/>
  <c r="I39" i="3"/>
  <c r="I31" i="3"/>
  <c r="I35" i="3"/>
  <c r="I49" i="3"/>
  <c r="I37" i="3"/>
  <c r="I29" i="3"/>
  <c r="I47" i="3"/>
  <c r="I33" i="3"/>
  <c r="I45" i="3"/>
  <c r="I28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8" i="3"/>
  <c r="A9" i="3"/>
  <c r="C9" i="3" s="1"/>
  <c r="A10" i="3"/>
  <c r="A11" i="3"/>
  <c r="A12" i="3"/>
  <c r="A13" i="3"/>
  <c r="C13" i="3" s="1"/>
  <c r="A14" i="3"/>
  <c r="A15" i="3"/>
  <c r="A16" i="3"/>
  <c r="C16" i="3" s="1"/>
  <c r="A17" i="3"/>
  <c r="C17" i="3" s="1"/>
  <c r="A18" i="3"/>
  <c r="A19" i="3"/>
  <c r="A20" i="3"/>
  <c r="A21" i="3"/>
  <c r="C21" i="3" s="1"/>
  <c r="A22" i="3"/>
  <c r="A23" i="3"/>
  <c r="A24" i="3"/>
  <c r="A26" i="3"/>
  <c r="A27" i="3"/>
  <c r="A28" i="3"/>
  <c r="A29" i="3"/>
  <c r="A30" i="3"/>
  <c r="C30" i="3" s="1"/>
  <c r="A31" i="3"/>
  <c r="A32" i="3"/>
  <c r="A33" i="3"/>
  <c r="A34" i="3"/>
  <c r="C34" i="3" s="1"/>
  <c r="A35" i="3"/>
  <c r="A36" i="3"/>
  <c r="A37" i="3"/>
  <c r="A38" i="3"/>
  <c r="C38" i="3" s="1"/>
  <c r="A39" i="3"/>
  <c r="A40" i="3"/>
  <c r="A41" i="3"/>
  <c r="A42" i="3"/>
  <c r="C42" i="3" s="1"/>
  <c r="A43" i="3"/>
  <c r="A44" i="3"/>
  <c r="A45" i="3"/>
  <c r="A46" i="3"/>
  <c r="C46" i="3" s="1"/>
  <c r="A47" i="3"/>
  <c r="A48" i="3"/>
  <c r="A49" i="3"/>
  <c r="A50" i="3"/>
  <c r="C50" i="3" s="1"/>
  <c r="A51" i="3"/>
  <c r="A52" i="3"/>
  <c r="A3" i="3"/>
  <c r="F51" i="3"/>
  <c r="Y51" i="3" s="1"/>
  <c r="F52" i="3"/>
  <c r="Y52" i="3" s="1"/>
  <c r="V3" i="3"/>
  <c r="C3" i="3" l="1"/>
  <c r="C45" i="3"/>
  <c r="C37" i="3"/>
  <c r="C29" i="3"/>
  <c r="C20" i="3"/>
  <c r="C12" i="3"/>
  <c r="C48" i="3"/>
  <c r="C51" i="3"/>
  <c r="C27" i="3"/>
  <c r="C22" i="3"/>
  <c r="C18" i="3"/>
  <c r="C14" i="3"/>
  <c r="C10" i="3"/>
  <c r="C5" i="3"/>
  <c r="C49" i="3"/>
  <c r="C41" i="3"/>
  <c r="C33" i="3"/>
  <c r="C24" i="3"/>
  <c r="C8" i="3"/>
  <c r="C52" i="3"/>
  <c r="C44" i="3"/>
  <c r="C40" i="3"/>
  <c r="C36" i="3"/>
  <c r="C32" i="3"/>
  <c r="C23" i="3"/>
  <c r="C19" i="3"/>
  <c r="C15" i="3"/>
  <c r="C11" i="3"/>
  <c r="C6" i="3"/>
  <c r="C28" i="3"/>
  <c r="C47" i="3"/>
  <c r="C43" i="3"/>
  <c r="C39" i="3"/>
  <c r="C35" i="3"/>
  <c r="C31" i="3"/>
  <c r="W1" i="3"/>
  <c r="Z52" i="3"/>
  <c r="Z51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6" i="3" l="1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F26" i="3"/>
  <c r="Y26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7" i="3"/>
  <c r="Y47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2" i="3"/>
  <c r="Y32" i="3" s="1"/>
  <c r="F40" i="3"/>
  <c r="Y40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I4" i="3"/>
  <c r="I5" i="3"/>
  <c r="I6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F29" i="3" l="1"/>
  <c r="Y29" i="3" s="1"/>
  <c r="D50" i="3" l="1"/>
  <c r="K50" i="3" s="1"/>
  <c r="D49" i="3"/>
  <c r="K49" i="3" s="1"/>
  <c r="D48" i="3"/>
  <c r="K48" i="3" s="1"/>
  <c r="D46" i="3"/>
  <c r="K46" i="3" s="1"/>
  <c r="D45" i="3"/>
  <c r="K45" i="3" s="1"/>
  <c r="D44" i="3"/>
  <c r="K44" i="3" s="1"/>
  <c r="D43" i="3"/>
  <c r="K43" i="3" s="1"/>
  <c r="D42" i="3"/>
  <c r="K42" i="3" s="1"/>
  <c r="D41" i="3"/>
  <c r="K41" i="3" s="1"/>
  <c r="D39" i="3"/>
  <c r="K39" i="3" s="1"/>
  <c r="D38" i="3"/>
  <c r="K38" i="3" s="1"/>
  <c r="D37" i="3"/>
  <c r="K37" i="3" s="1"/>
  <c r="D36" i="3"/>
  <c r="D35" i="3"/>
  <c r="D34" i="3"/>
  <c r="D33" i="3"/>
  <c r="F31" i="3"/>
  <c r="Y31" i="3" s="1"/>
  <c r="D30" i="3"/>
  <c r="D28" i="3"/>
  <c r="D27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D17" i="3"/>
  <c r="K17" i="3" s="1"/>
  <c r="L16" i="3"/>
  <c r="M16" i="3" s="1"/>
  <c r="J16" i="3"/>
  <c r="D16" i="3"/>
  <c r="K16" i="3" s="1"/>
  <c r="L15" i="3"/>
  <c r="M15" i="3" s="1"/>
  <c r="J15" i="3"/>
  <c r="F15" i="3"/>
  <c r="Y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9" i="3"/>
  <c r="M9" i="3" s="1"/>
  <c r="J9" i="3"/>
  <c r="D9" i="3"/>
  <c r="K9" i="3" s="1"/>
  <c r="L8" i="3"/>
  <c r="M8" i="3" s="1"/>
  <c r="J8" i="3"/>
  <c r="D8" i="3"/>
  <c r="K8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0" i="3" l="1"/>
  <c r="Y30" i="3" s="1"/>
  <c r="K30" i="3"/>
  <c r="F35" i="3"/>
  <c r="Y35" i="3" s="1"/>
  <c r="K35" i="3"/>
  <c r="F34" i="3"/>
  <c r="Y34" i="3" s="1"/>
  <c r="K34" i="3"/>
  <c r="K3" i="3"/>
  <c r="F3" i="3"/>
  <c r="Y3" i="3" s="1"/>
  <c r="F27" i="3"/>
  <c r="Y27" i="3" s="1"/>
  <c r="K27" i="3"/>
  <c r="F36" i="3"/>
  <c r="Y36" i="3" s="1"/>
  <c r="K36" i="3"/>
  <c r="F28" i="3"/>
  <c r="Y28" i="3" s="1"/>
  <c r="K28" i="3"/>
  <c r="F33" i="3"/>
  <c r="Y33" i="3" s="1"/>
  <c r="K33" i="3"/>
  <c r="F23" i="3"/>
  <c r="Y23" i="3" s="1"/>
  <c r="F44" i="3"/>
  <c r="Y44" i="3" s="1"/>
  <c r="F12" i="3"/>
  <c r="Y12" i="3" s="1"/>
  <c r="F19" i="3"/>
  <c r="Y19" i="3" s="1"/>
  <c r="F48" i="3"/>
  <c r="Y48" i="3" s="1"/>
  <c r="F14" i="3"/>
  <c r="Y14" i="3" s="1"/>
  <c r="F17" i="3"/>
  <c r="Y17" i="3" s="1"/>
  <c r="F42" i="3"/>
  <c r="Y42" i="3" s="1"/>
  <c r="F50" i="3"/>
  <c r="Y50" i="3" s="1"/>
  <c r="F21" i="3"/>
  <c r="Y21" i="3" s="1"/>
  <c r="F38" i="3"/>
  <c r="Y38" i="3" s="1"/>
  <c r="F46" i="3"/>
  <c r="Y46" i="3" s="1"/>
  <c r="F11" i="3"/>
  <c r="Y11" i="3" s="1"/>
  <c r="F16" i="3"/>
  <c r="Y16" i="3" s="1"/>
  <c r="F18" i="3"/>
  <c r="Y18" i="3" s="1"/>
  <c r="F20" i="3"/>
  <c r="Y20" i="3" s="1"/>
  <c r="F22" i="3"/>
  <c r="Y22" i="3" s="1"/>
  <c r="F24" i="3"/>
  <c r="Y24" i="3" s="1"/>
  <c r="F6" i="3"/>
  <c r="Y6" i="3" s="1"/>
  <c r="F9" i="3"/>
  <c r="Y9" i="3" s="1"/>
  <c r="F8" i="3"/>
  <c r="Y8" i="3" s="1"/>
  <c r="F10" i="3"/>
  <c r="Y10" i="3" s="1"/>
  <c r="F37" i="3"/>
  <c r="Y37" i="3" s="1"/>
  <c r="F39" i="3"/>
  <c r="Y39" i="3" s="1"/>
  <c r="F41" i="3"/>
  <c r="Y41" i="3" s="1"/>
  <c r="F43" i="3"/>
  <c r="Y43" i="3" s="1"/>
  <c r="F45" i="3"/>
  <c r="Y45" i="3" s="1"/>
  <c r="F49" i="3"/>
  <c r="Y49" i="3" s="1"/>
  <c r="F13" i="3"/>
  <c r="Y13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<sst xmlns="http://schemas.openxmlformats.org/spreadsheetml/2006/main" count="119630" uniqueCount="9021">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</sst>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9</xdr:row>
          <xdr:rowOff>19050</xdr:rowOff>
        </xdr:from>
        <xdr:to>
          <xdr:col>28</xdr:col>
          <xdr:colOff>209550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8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114300</xdr:rowOff>
        </xdr:from>
        <xdr:to>
          <xdr:col>28</xdr:col>
          <xdr:colOff>247650</xdr:colOff>
          <xdr:row>13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15" zoomScaleNormal="115" workbookViewId="0">
      <selection activeCell="G3" sqref="G3:G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9012</v>
      </c>
      <c r="W1">
        <f>SUM(V3:V52)</f>
        <v>0</v>
      </c>
      <c r="Y1" t="s">
        <v>8852</v>
      </c>
      <c r="AD1" t="s">
        <v>9013</v>
      </c>
    </row>
    <row r="2" spans="1:30" x14ac:dyDescent="0.15">
      <c r="A2" t="s">
        <v>8998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99.97999999999999</v>
      </c>
    </row>
    <row r="3" spans="1:30" x14ac:dyDescent="0.15">
      <c r="A3" t="str">
        <f>E3</f>
        <v>601288</v>
      </c>
      <c r="B3" s="10" t="s">
        <v>8999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0" si="0">D3&amp;E3</f>
        <v>sh601288</v>
      </c>
      <c r="G3" s="5">
        <v>3.04</v>
      </c>
      <c r="H3" s="5">
        <f>IF(ISNA(VLOOKUP(B3,Sheet1!A:B,2,0)),0,VLOOKUP(B3,Sheet1!A:B,2,0))</f>
        <v>3.04</v>
      </c>
      <c r="I3">
        <f t="shared" ref="I3:I23" si="1">+H3-G3</f>
        <v>0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-4.864000000000001E-2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0</v>
      </c>
      <c r="Y3" s="6" t="str">
        <f>+F3</f>
        <v>sh601288</v>
      </c>
      <c r="Z3" s="5">
        <f>H3</f>
        <v>3.04</v>
      </c>
    </row>
    <row r="4" spans="1:30" x14ac:dyDescent="0.15">
      <c r="A4" t="str">
        <f t="shared" ref="A4:A52" si="2">E4</f>
        <v>601169</v>
      </c>
      <c r="B4" s="10" t="s">
        <v>9000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2.4</v>
      </c>
      <c r="H4" s="5">
        <f>IF(ISNA(VLOOKUP(B4,Sheet1!A:B,2,0)),0,VLOOKUP(B4,Sheet1!A:B,2,0))</f>
        <v>2.4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52" si="3">H4-G4</f>
        <v>0</v>
      </c>
      <c r="Y4" s="6" t="str">
        <f t="shared" ref="Y4:Y52" si="4">+F4</f>
        <v>sh601169</v>
      </c>
      <c r="Z4" s="5">
        <f t="shared" ref="Z4:Z24" si="5">H4</f>
        <v>2.4</v>
      </c>
    </row>
    <row r="5" spans="1:30" x14ac:dyDescent="0.15">
      <c r="A5" t="str">
        <f t="shared" si="2"/>
        <v>601988</v>
      </c>
      <c r="B5" s="10" t="s">
        <v>9001</v>
      </c>
      <c r="C5" s="11" t="str">
        <f>VLOOKUP(A5,'Backup Dec6'!A:C,3,0)</f>
        <v>中国银行</v>
      </c>
      <c r="D5" t="str">
        <f t="shared" ref="D5:D50" si="6">IF(LEFT(E5,1)="6","sh","sz")</f>
        <v>sh</v>
      </c>
      <c r="E5" t="s">
        <v>20</v>
      </c>
      <c r="F5" s="6" t="str">
        <f t="shared" si="0"/>
        <v>sh601988</v>
      </c>
      <c r="G5" s="5">
        <v>1.9</v>
      </c>
      <c r="H5" s="5">
        <f>IF(ISNA(VLOOKUP(B5,Sheet1!A:B,2,0)),0,VLOOKUP(B5,Sheet1!A:B,2,0))</f>
        <v>1.9</v>
      </c>
      <c r="I5">
        <f t="shared" si="1"/>
        <v>0</v>
      </c>
      <c r="J5" t="str">
        <f t="shared" ref="J5:J52" si="7">VLOOKUP(E5,P:Q,2,0)</f>
        <v>中国银行</v>
      </c>
      <c r="K5" t="str">
        <f t="shared" ref="K5:K14" si="8">D5&amp;E5</f>
        <v>sh601988</v>
      </c>
      <c r="L5" t="str">
        <f t="shared" ref="L5:L52" si="9">VLOOKUP(E5,P:S,4,0)</f>
        <v>-3.06</v>
      </c>
      <c r="M5" s="3">
        <f t="shared" ref="M5:M23" si="10">G5*L5/100</f>
        <v>-5.8139999999999997E-2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1.9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3.02</v>
      </c>
      <c r="H6" s="5">
        <f>IF(ISNA(VLOOKUP(B6,Sheet1!A:B,2,0)),0,VLOOKUP(B6,Sheet1!A:B,2,0))</f>
        <v>3.02</v>
      </c>
      <c r="I6">
        <f t="shared" si="1"/>
        <v>0</v>
      </c>
      <c r="J6" t="str">
        <f t="shared" si="7"/>
        <v>交通银行</v>
      </c>
      <c r="K6" t="str">
        <f t="shared" si="8"/>
        <v>sh601328</v>
      </c>
      <c r="L6" t="str">
        <f t="shared" si="9"/>
        <v>-3.47</v>
      </c>
      <c r="M6" s="3">
        <f t="shared" si="10"/>
        <v>-0.104794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3.02</v>
      </c>
    </row>
    <row r="7" spans="1:30" x14ac:dyDescent="0.15">
      <c r="A7" t="str">
        <f>E7</f>
        <v>601229</v>
      </c>
      <c r="B7" s="10" t="s">
        <v>9014</v>
      </c>
      <c r="C7" t="s">
        <v>9018</v>
      </c>
      <c r="D7" t="s">
        <v>9020</v>
      </c>
      <c r="E7" s="2" t="s">
        <v>9016</v>
      </c>
      <c r="F7" s="6" t="str">
        <f>D7&amp;E7</f>
        <v>sh601229</v>
      </c>
      <c r="G7" s="5">
        <v>0.36</v>
      </c>
      <c r="H7" s="5">
        <f>IF(ISNA(VLOOKUP(B7,Sheet1!A:B,2,0)),0,VLOOKUP(B7,Sheet1!A:B,2,0))</f>
        <v>0.36</v>
      </c>
      <c r="I7">
        <f>+H7-G7</f>
        <v>0</v>
      </c>
      <c r="J7" t="e">
        <f t="shared" si="7"/>
        <v>#N/A</v>
      </c>
      <c r="K7" t="str">
        <f>D7&amp;E7</f>
        <v>sh601229</v>
      </c>
      <c r="L7" t="e">
        <f t="shared" si="9"/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0.36</v>
      </c>
    </row>
    <row r="8" spans="1:30" x14ac:dyDescent="0.15">
      <c r="A8" t="str">
        <f t="shared" si="2"/>
        <v>002594</v>
      </c>
      <c r="B8" s="10" t="s">
        <v>8945</v>
      </c>
      <c r="C8" s="11" t="str">
        <f>VLOOKUP(A8,'Backup Dec6'!A:C,3,0)</f>
        <v>比亚迪</v>
      </c>
      <c r="D8" t="str">
        <f t="shared" si="6"/>
        <v>sz</v>
      </c>
      <c r="E8" s="2" t="s">
        <v>36</v>
      </c>
      <c r="F8" s="6" t="str">
        <f t="shared" si="0"/>
        <v>sz002594</v>
      </c>
      <c r="G8" s="5">
        <v>0.69</v>
      </c>
      <c r="H8" s="5">
        <f>IF(ISNA(VLOOKUP(B8,Sheet1!A:B,2,0)),0,VLOOKUP(B8,Sheet1!A:B,2,0))</f>
        <v>0.69</v>
      </c>
      <c r="I8">
        <f t="shared" si="1"/>
        <v>0</v>
      </c>
      <c r="J8" t="str">
        <f t="shared" si="7"/>
        <v>比亚迪</v>
      </c>
      <c r="K8" t="str">
        <f t="shared" si="8"/>
        <v>sz002594</v>
      </c>
      <c r="L8" t="str">
        <f t="shared" si="9"/>
        <v>-3.09</v>
      </c>
      <c r="M8" s="3">
        <f t="shared" si="10"/>
        <v>-2.1321E-2</v>
      </c>
      <c r="P8"/>
      <c r="Q8" s="1" t="s">
        <v>37</v>
      </c>
      <c r="R8" s="1" t="s">
        <v>38</v>
      </c>
      <c r="S8" s="1" t="s">
        <v>39</v>
      </c>
      <c r="T8" s="1" t="s">
        <v>40</v>
      </c>
      <c r="U8" s="1" t="s">
        <v>41</v>
      </c>
      <c r="V8" s="1">
        <f t="shared" si="3"/>
        <v>0</v>
      </c>
      <c r="Y8" s="6" t="str">
        <f t="shared" si="4"/>
        <v>sz002594</v>
      </c>
      <c r="Z8" s="5">
        <f t="shared" si="5"/>
        <v>0.69</v>
      </c>
    </row>
    <row r="9" spans="1:30" x14ac:dyDescent="0.15">
      <c r="A9" t="str">
        <f t="shared" si="2"/>
        <v>601998</v>
      </c>
      <c r="B9" s="10" t="s">
        <v>8946</v>
      </c>
      <c r="C9" s="11" t="str">
        <f>VLOOKUP(A9,'Backup Dec6'!A:C,3,0)</f>
        <v>中信银行</v>
      </c>
      <c r="D9" t="str">
        <f t="shared" si="6"/>
        <v>sh</v>
      </c>
      <c r="E9" t="s">
        <v>44</v>
      </c>
      <c r="F9" s="6" t="str">
        <f t="shared" si="0"/>
        <v>sh601998</v>
      </c>
      <c r="G9" s="5">
        <v>0.42</v>
      </c>
      <c r="H9" s="5">
        <f>IF(ISNA(VLOOKUP(B9,Sheet1!A:B,2,0)),0,VLOOKUP(B9,Sheet1!A:B,2,0))</f>
        <v>0.42</v>
      </c>
      <c r="I9">
        <f t="shared" si="1"/>
        <v>0</v>
      </c>
      <c r="J9" t="str">
        <f t="shared" si="7"/>
        <v>中信银行</v>
      </c>
      <c r="K9" t="str">
        <f t="shared" si="8"/>
        <v>sh601998</v>
      </c>
      <c r="L9" t="str">
        <f t="shared" si="9"/>
        <v>-4.59</v>
      </c>
      <c r="M9" s="3">
        <f t="shared" si="10"/>
        <v>-1.9278E-2</v>
      </c>
      <c r="P9"/>
      <c r="Q9" s="1" t="s">
        <v>45</v>
      </c>
      <c r="R9" s="1" t="s">
        <v>46</v>
      </c>
      <c r="S9" s="1" t="s">
        <v>47</v>
      </c>
      <c r="T9" s="1" t="s">
        <v>48</v>
      </c>
      <c r="U9" s="1" t="s">
        <v>49</v>
      </c>
      <c r="V9" s="1">
        <f t="shared" si="3"/>
        <v>0</v>
      </c>
      <c r="Y9" s="6" t="str">
        <f t="shared" si="4"/>
        <v>sh601998</v>
      </c>
      <c r="Z9" s="5">
        <f t="shared" si="5"/>
        <v>0.42</v>
      </c>
    </row>
    <row r="10" spans="1:30" x14ac:dyDescent="0.15">
      <c r="A10" t="str">
        <f t="shared" si="2"/>
        <v>601800</v>
      </c>
      <c r="B10" s="10" t="s">
        <v>8978</v>
      </c>
      <c r="C10" s="11" t="str">
        <f>VLOOKUP(A10,'Backup Dec6'!A:C,3,0)</f>
        <v>中国交建</v>
      </c>
      <c r="D10" t="str">
        <f t="shared" si="6"/>
        <v>sh</v>
      </c>
      <c r="E10" t="s">
        <v>52</v>
      </c>
      <c r="F10" s="6" t="str">
        <f t="shared" si="0"/>
        <v>sh601800</v>
      </c>
      <c r="G10" s="5">
        <v>0.54</v>
      </c>
      <c r="H10" s="5">
        <f>IF(ISNA(VLOOKUP(B10,Sheet1!A:B,2,0)),0,VLOOKUP(B10,Sheet1!A:B,2,0))</f>
        <v>0.54</v>
      </c>
      <c r="I10">
        <f t="shared" si="1"/>
        <v>0</v>
      </c>
      <c r="J10" t="str">
        <f t="shared" si="7"/>
        <v>中国交建</v>
      </c>
      <c r="K10" t="str">
        <f t="shared" si="8"/>
        <v>sh601800</v>
      </c>
      <c r="L10" t="str">
        <f t="shared" si="9"/>
        <v>-5.17</v>
      </c>
      <c r="M10" s="3">
        <f t="shared" si="10"/>
        <v>-2.7918000000000002E-2</v>
      </c>
      <c r="P10"/>
      <c r="Q10" s="1" t="s">
        <v>53</v>
      </c>
      <c r="R10" s="1" t="s">
        <v>54</v>
      </c>
      <c r="S10" s="1" t="s">
        <v>55</v>
      </c>
      <c r="T10" s="1" t="s">
        <v>56</v>
      </c>
      <c r="U10" s="1" t="s">
        <v>57</v>
      </c>
      <c r="V10" s="1">
        <f t="shared" si="3"/>
        <v>0</v>
      </c>
      <c r="Y10" s="6" t="str">
        <f t="shared" si="4"/>
        <v>sh601800</v>
      </c>
      <c r="Z10" s="5">
        <f t="shared" si="5"/>
        <v>0.54</v>
      </c>
    </row>
    <row r="11" spans="1:30" x14ac:dyDescent="0.15">
      <c r="A11" t="str">
        <f t="shared" si="2"/>
        <v>601939</v>
      </c>
      <c r="B11" s="10" t="s">
        <v>8947</v>
      </c>
      <c r="C11" s="11" t="str">
        <f>VLOOKUP(A11,'Backup Dec6'!A:C,3,0)</f>
        <v>建设银行</v>
      </c>
      <c r="D11" t="str">
        <f t="shared" si="6"/>
        <v>sh</v>
      </c>
      <c r="E11" t="s">
        <v>60</v>
      </c>
      <c r="F11" s="6" t="str">
        <f t="shared" si="0"/>
        <v>sh601939</v>
      </c>
      <c r="G11" s="5">
        <v>1.38</v>
      </c>
      <c r="H11" s="5">
        <f>IF(ISNA(VLOOKUP(B11,Sheet1!A:B,2,0)),0,VLOOKUP(B11,Sheet1!A:B,2,0))</f>
        <v>1.38</v>
      </c>
      <c r="I11">
        <f t="shared" si="1"/>
        <v>0</v>
      </c>
      <c r="J11" t="str">
        <f t="shared" si="7"/>
        <v>建设银行</v>
      </c>
      <c r="K11" t="str">
        <f t="shared" si="8"/>
        <v>sh601939</v>
      </c>
      <c r="L11" t="str">
        <f t="shared" si="9"/>
        <v>-2.30</v>
      </c>
      <c r="M11" s="3">
        <f t="shared" si="10"/>
        <v>-3.1739999999999997E-2</v>
      </c>
      <c r="P11"/>
      <c r="Q11" s="1" t="s">
        <v>61</v>
      </c>
      <c r="R11" s="1" t="s">
        <v>62</v>
      </c>
      <c r="S11" s="1" t="s">
        <v>63</v>
      </c>
      <c r="T11" s="1" t="s">
        <v>64</v>
      </c>
      <c r="U11" s="1" t="s">
        <v>65</v>
      </c>
      <c r="V11" s="1">
        <f t="shared" si="3"/>
        <v>0</v>
      </c>
      <c r="Y11" s="6" t="str">
        <f t="shared" si="4"/>
        <v>sh601939</v>
      </c>
      <c r="Z11" s="5">
        <f t="shared" si="5"/>
        <v>1.38</v>
      </c>
    </row>
    <row r="12" spans="1:30" x14ac:dyDescent="0.15">
      <c r="A12" t="str">
        <f t="shared" si="2"/>
        <v>601818</v>
      </c>
      <c r="B12" s="10" t="s">
        <v>8948</v>
      </c>
      <c r="C12" s="11" t="str">
        <f>VLOOKUP(A12,'Backup Dec6'!A:C,3,0)</f>
        <v>光大银行</v>
      </c>
      <c r="D12" t="str">
        <f t="shared" si="6"/>
        <v>sh</v>
      </c>
      <c r="E12" t="s">
        <v>68</v>
      </c>
      <c r="F12" s="6" t="str">
        <f t="shared" si="0"/>
        <v>sh601818</v>
      </c>
      <c r="G12" s="5">
        <v>1.37</v>
      </c>
      <c r="H12" s="5">
        <f>IF(ISNA(VLOOKUP(B12,Sheet1!A:B,2,0)),0,VLOOKUP(B12,Sheet1!A:B,2,0))</f>
        <v>1.37</v>
      </c>
      <c r="I12">
        <f t="shared" si="1"/>
        <v>0</v>
      </c>
      <c r="J12" t="str">
        <f t="shared" si="7"/>
        <v>光大银行</v>
      </c>
      <c r="K12" t="str">
        <f t="shared" si="8"/>
        <v>sh601818</v>
      </c>
      <c r="L12" t="str">
        <f t="shared" si="9"/>
        <v>-3.39</v>
      </c>
      <c r="M12" s="3">
        <f t="shared" si="10"/>
        <v>-4.6443000000000005E-2</v>
      </c>
      <c r="P12"/>
      <c r="Q12" s="1" t="s">
        <v>69</v>
      </c>
      <c r="R12" s="1" t="s">
        <v>70</v>
      </c>
      <c r="S12" s="1" t="s">
        <v>71</v>
      </c>
      <c r="T12" s="1" t="s">
        <v>72</v>
      </c>
      <c r="U12" s="1" t="s">
        <v>73</v>
      </c>
      <c r="V12" s="1">
        <f t="shared" si="3"/>
        <v>0</v>
      </c>
      <c r="Y12" s="6" t="str">
        <f t="shared" si="4"/>
        <v>sh601818</v>
      </c>
      <c r="Z12" s="5">
        <f t="shared" si="5"/>
        <v>1.37</v>
      </c>
    </row>
    <row r="13" spans="1:30" x14ac:dyDescent="0.15">
      <c r="A13" t="str">
        <f t="shared" si="2"/>
        <v>601628</v>
      </c>
      <c r="B13" s="10" t="s">
        <v>8949</v>
      </c>
      <c r="C13" s="11" t="str">
        <f>VLOOKUP(A13,'Backup Dec6'!A:C,3,0)</f>
        <v>中国人寿</v>
      </c>
      <c r="D13" t="str">
        <f t="shared" si="6"/>
        <v>sh</v>
      </c>
      <c r="E13" t="s">
        <v>76</v>
      </c>
      <c r="F13" s="6" t="str">
        <f t="shared" si="0"/>
        <v>sh601628</v>
      </c>
      <c r="G13" s="5">
        <v>0.98</v>
      </c>
      <c r="H13" s="5">
        <f>IF(ISNA(VLOOKUP(B13,Sheet1!A:B,2,0)),0,VLOOKUP(B13,Sheet1!A:B,2,0))</f>
        <v>0.98</v>
      </c>
      <c r="I13">
        <f t="shared" si="1"/>
        <v>0</v>
      </c>
      <c r="J13" t="str">
        <f t="shared" si="7"/>
        <v>中国人寿</v>
      </c>
      <c r="K13" t="str">
        <f t="shared" si="8"/>
        <v>sh601628</v>
      </c>
      <c r="L13" t="str">
        <f t="shared" si="9"/>
        <v>-1.90</v>
      </c>
      <c r="M13" s="3">
        <f t="shared" si="10"/>
        <v>-1.8619999999999998E-2</v>
      </c>
      <c r="P13"/>
      <c r="Q13" s="1" t="s">
        <v>77</v>
      </c>
      <c r="R13" s="1" t="s">
        <v>78</v>
      </c>
      <c r="S13" s="1" t="s">
        <v>79</v>
      </c>
      <c r="T13" s="1" t="s">
        <v>80</v>
      </c>
      <c r="U13" s="1" t="s">
        <v>81</v>
      </c>
      <c r="V13" s="1">
        <f t="shared" si="3"/>
        <v>0</v>
      </c>
      <c r="Y13" s="6" t="str">
        <f t="shared" si="4"/>
        <v>sh601628</v>
      </c>
      <c r="Z13" s="5">
        <f t="shared" si="5"/>
        <v>0.98</v>
      </c>
    </row>
    <row r="14" spans="1:30" x14ac:dyDescent="0.15">
      <c r="A14" t="str">
        <f t="shared" si="2"/>
        <v>600036</v>
      </c>
      <c r="B14" s="10" t="s">
        <v>8950</v>
      </c>
      <c r="C14" s="11" t="str">
        <f>VLOOKUP(A14,'Backup Dec6'!A:C,3,0)</f>
        <v>招商银行</v>
      </c>
      <c r="D14" t="str">
        <f t="shared" si="6"/>
        <v>sh</v>
      </c>
      <c r="E14" t="s">
        <v>84</v>
      </c>
      <c r="F14" s="6" t="str">
        <f t="shared" si="0"/>
        <v>sh600036</v>
      </c>
      <c r="G14" s="5">
        <v>6.14</v>
      </c>
      <c r="H14" s="5">
        <f>IF(ISNA(VLOOKUP(B14,Sheet1!A:B,2,0)),0,VLOOKUP(B14,Sheet1!A:B,2,0))</f>
        <v>6.14</v>
      </c>
      <c r="I14">
        <f t="shared" si="1"/>
        <v>0</v>
      </c>
      <c r="J14" t="str">
        <f t="shared" si="7"/>
        <v>招商银行</v>
      </c>
      <c r="K14" t="str">
        <f t="shared" si="8"/>
        <v>sh600036</v>
      </c>
      <c r="L14" t="str">
        <f t="shared" si="9"/>
        <v>-2.58</v>
      </c>
      <c r="M14" s="3">
        <f t="shared" si="10"/>
        <v>-0.158412</v>
      </c>
      <c r="P14"/>
      <c r="Q14" s="1" t="s">
        <v>85</v>
      </c>
      <c r="R14" s="1" t="s">
        <v>86</v>
      </c>
      <c r="S14" s="1" t="s">
        <v>87</v>
      </c>
      <c r="T14" s="1" t="s">
        <v>88</v>
      </c>
      <c r="U14" s="1" t="s">
        <v>89</v>
      </c>
      <c r="V14" s="1">
        <f t="shared" si="3"/>
        <v>0</v>
      </c>
      <c r="Y14" s="6" t="str">
        <f t="shared" si="4"/>
        <v>sh600036</v>
      </c>
      <c r="Z14" s="5">
        <f t="shared" si="5"/>
        <v>6.14</v>
      </c>
    </row>
    <row r="15" spans="1:30" x14ac:dyDescent="0.15">
      <c r="A15" t="str">
        <f t="shared" si="2"/>
        <v>001979</v>
      </c>
      <c r="B15" s="10" t="s">
        <v>8941</v>
      </c>
      <c r="C15" s="11" t="str">
        <f>VLOOKUP(A15,'Backup Dec6'!A:C,3,0)</f>
        <v>招商蛇口</v>
      </c>
      <c r="D15" t="s">
        <v>8908</v>
      </c>
      <c r="E15" s="2" t="s">
        <v>8910</v>
      </c>
      <c r="F15" s="6" t="str">
        <f t="shared" si="0"/>
        <v>sz001979</v>
      </c>
      <c r="G15" s="5">
        <v>1.04</v>
      </c>
      <c r="H15" s="5">
        <f>IF(ISNA(VLOOKUP(B15,Sheet1!A:B,2,0)),0,VLOOKUP(B15,Sheet1!A:B,2,0))</f>
        <v>1.04</v>
      </c>
      <c r="I15">
        <f t="shared" si="1"/>
        <v>0</v>
      </c>
      <c r="J15" t="e">
        <f t="shared" si="7"/>
        <v>#N/A</v>
      </c>
      <c r="L15" t="e">
        <f t="shared" si="9"/>
        <v>#N/A</v>
      </c>
      <c r="M15" s="3" t="e">
        <f t="shared" si="10"/>
        <v>#N/A</v>
      </c>
      <c r="P15"/>
      <c r="Q15" s="1"/>
      <c r="R15" s="1"/>
      <c r="S15" s="1"/>
      <c r="T15" s="1"/>
      <c r="U15" s="1"/>
      <c r="V15" s="1">
        <f t="shared" si="3"/>
        <v>0</v>
      </c>
      <c r="Y15" s="6" t="str">
        <f t="shared" si="4"/>
        <v>sz001979</v>
      </c>
      <c r="Z15" s="5">
        <f t="shared" si="5"/>
        <v>1.04</v>
      </c>
    </row>
    <row r="16" spans="1:30" x14ac:dyDescent="0.15">
      <c r="A16" t="str">
        <f t="shared" si="2"/>
        <v>600016</v>
      </c>
      <c r="B16" s="10" t="s">
        <v>8951</v>
      </c>
      <c r="C16" s="11" t="str">
        <f>VLOOKUP(A16,'Backup Dec6'!A:C,3,0)</f>
        <v>民生银行</v>
      </c>
      <c r="D16" t="str">
        <f t="shared" si="6"/>
        <v>sh</v>
      </c>
      <c r="E16" t="s">
        <v>92</v>
      </c>
      <c r="F16" s="6" t="str">
        <f t="shared" si="0"/>
        <v>sh600016</v>
      </c>
      <c r="G16" s="5">
        <v>4.62</v>
      </c>
      <c r="H16" s="5">
        <f>IF(ISNA(VLOOKUP(B16,Sheet1!A:B,2,0)),0,VLOOKUP(B16,Sheet1!A:B,2,0))</f>
        <v>4.62</v>
      </c>
      <c r="I16">
        <f t="shared" si="1"/>
        <v>0</v>
      </c>
      <c r="J16" t="str">
        <f t="shared" si="7"/>
        <v>民生银行</v>
      </c>
      <c r="K16" t="str">
        <f t="shared" ref="K16:K23" si="11">D16&amp;E16</f>
        <v>sh600016</v>
      </c>
      <c r="L16" t="str">
        <f t="shared" si="9"/>
        <v>-0.24</v>
      </c>
      <c r="M16" s="3">
        <f t="shared" si="10"/>
        <v>-1.1088000000000001E-2</v>
      </c>
      <c r="P16"/>
      <c r="Q16" s="1" t="s">
        <v>93</v>
      </c>
      <c r="R16" s="1" t="s">
        <v>94</v>
      </c>
      <c r="S16" s="1" t="s">
        <v>95</v>
      </c>
      <c r="T16" s="1" t="s">
        <v>96</v>
      </c>
      <c r="U16" s="1" t="s">
        <v>97</v>
      </c>
      <c r="V16" s="1">
        <f t="shared" si="3"/>
        <v>0</v>
      </c>
      <c r="Y16" s="6" t="str">
        <f t="shared" si="4"/>
        <v>sh600016</v>
      </c>
      <c r="Z16" s="5">
        <f t="shared" si="5"/>
        <v>4.62</v>
      </c>
    </row>
    <row r="17" spans="1:28" x14ac:dyDescent="0.15">
      <c r="A17" t="str">
        <f t="shared" si="2"/>
        <v>601985</v>
      </c>
      <c r="B17" s="10" t="s">
        <v>8987</v>
      </c>
      <c r="C17" s="11" t="str">
        <f>VLOOKUP(A17,'Backup Dec6'!A:C,3,0)</f>
        <v>中国核电</v>
      </c>
      <c r="D17" t="str">
        <f t="shared" si="6"/>
        <v>sh</v>
      </c>
      <c r="E17" t="s">
        <v>100</v>
      </c>
      <c r="F17" s="6" t="str">
        <f t="shared" si="0"/>
        <v>sh601985</v>
      </c>
      <c r="G17" s="5">
        <v>0.75</v>
      </c>
      <c r="H17" s="5">
        <f>IF(ISNA(VLOOKUP(B17,Sheet1!A:B,2,0)),0,VLOOKUP(B17,Sheet1!A:B,2,0))</f>
        <v>0.75</v>
      </c>
      <c r="I17">
        <f t="shared" si="1"/>
        <v>0</v>
      </c>
      <c r="J17" t="str">
        <f t="shared" si="7"/>
        <v>中国核电</v>
      </c>
      <c r="K17" t="str">
        <f t="shared" si="11"/>
        <v>sh601985</v>
      </c>
      <c r="L17" t="str">
        <f t="shared" si="9"/>
        <v>-3.20</v>
      </c>
      <c r="M17" s="3">
        <f t="shared" si="10"/>
        <v>-2.4000000000000004E-2</v>
      </c>
      <c r="P17"/>
      <c r="Q17" s="1" t="s">
        <v>101</v>
      </c>
      <c r="R17" s="1" t="s">
        <v>102</v>
      </c>
      <c r="S17" s="1" t="s">
        <v>103</v>
      </c>
      <c r="T17" s="1" t="s">
        <v>104</v>
      </c>
      <c r="U17" s="1" t="s">
        <v>105</v>
      </c>
      <c r="V17" s="1">
        <f t="shared" si="3"/>
        <v>0</v>
      </c>
      <c r="Y17" s="6" t="str">
        <f t="shared" si="4"/>
        <v>sh601985</v>
      </c>
      <c r="Z17" s="5">
        <f t="shared" si="5"/>
        <v>0.75</v>
      </c>
    </row>
    <row r="18" spans="1:28" x14ac:dyDescent="0.15">
      <c r="A18" t="str">
        <f t="shared" si="2"/>
        <v>601601</v>
      </c>
      <c r="B18" s="10" t="s">
        <v>8952</v>
      </c>
      <c r="C18" s="11" t="str">
        <f>VLOOKUP(A18,'Backup Dec6'!A:C,3,0)</f>
        <v>中国太保</v>
      </c>
      <c r="D18" t="str">
        <f t="shared" si="6"/>
        <v>sh</v>
      </c>
      <c r="E18" t="s">
        <v>108</v>
      </c>
      <c r="F18" s="6" t="str">
        <f t="shared" si="0"/>
        <v>sh601601</v>
      </c>
      <c r="G18" s="5">
        <v>1.99</v>
      </c>
      <c r="H18" s="5">
        <f>IF(ISNA(VLOOKUP(B18,Sheet1!A:B,2,0)),0,VLOOKUP(B18,Sheet1!A:B,2,0))</f>
        <v>1.99</v>
      </c>
      <c r="I18">
        <f t="shared" si="1"/>
        <v>0</v>
      </c>
      <c r="J18" t="str">
        <f t="shared" si="7"/>
        <v>中国太保</v>
      </c>
      <c r="K18" t="str">
        <f t="shared" si="11"/>
        <v>sh601601</v>
      </c>
      <c r="L18" t="str">
        <f t="shared" si="9"/>
        <v>-1.73</v>
      </c>
      <c r="M18" s="3">
        <f t="shared" si="10"/>
        <v>-3.4426999999999999E-2</v>
      </c>
      <c r="P18"/>
      <c r="Q18" s="1" t="s">
        <v>109</v>
      </c>
      <c r="R18" s="1" t="s">
        <v>110</v>
      </c>
      <c r="S18" s="1" t="s">
        <v>111</v>
      </c>
      <c r="T18" s="1" t="s">
        <v>112</v>
      </c>
      <c r="U18" s="1" t="s">
        <v>113</v>
      </c>
      <c r="V18" s="1">
        <f t="shared" si="3"/>
        <v>0</v>
      </c>
      <c r="Y18" s="6" t="str">
        <f t="shared" si="4"/>
        <v>sh601601</v>
      </c>
      <c r="Z18" s="5">
        <f t="shared" si="5"/>
        <v>1.99</v>
      </c>
    </row>
    <row r="19" spans="1:28" x14ac:dyDescent="0.15">
      <c r="A19" t="str">
        <f t="shared" si="2"/>
        <v>600028</v>
      </c>
      <c r="B19" s="10" t="s">
        <v>8953</v>
      </c>
      <c r="C19" s="11" t="str">
        <f>VLOOKUP(A19,'Backup Dec6'!A:C,3,0)</f>
        <v>中国石化</v>
      </c>
      <c r="D19" t="str">
        <f t="shared" si="6"/>
        <v>sh</v>
      </c>
      <c r="E19" t="s">
        <v>116</v>
      </c>
      <c r="F19" s="6" t="str">
        <f t="shared" si="0"/>
        <v>sh600028</v>
      </c>
      <c r="G19" s="5">
        <v>1.41</v>
      </c>
      <c r="H19" s="5">
        <f>IF(ISNA(VLOOKUP(B19,Sheet1!A:B,2,0)),0,VLOOKUP(B19,Sheet1!A:B,2,0))</f>
        <v>1.41</v>
      </c>
      <c r="I19">
        <f t="shared" si="1"/>
        <v>0</v>
      </c>
      <c r="J19" t="str">
        <f t="shared" si="7"/>
        <v>中国石化</v>
      </c>
      <c r="K19" t="str">
        <f t="shared" si="11"/>
        <v>sh600028</v>
      </c>
      <c r="L19" t="str">
        <f t="shared" si="9"/>
        <v>-3.88</v>
      </c>
      <c r="M19" s="3">
        <f t="shared" si="10"/>
        <v>-5.4708E-2</v>
      </c>
      <c r="P19"/>
      <c r="Q19" s="1" t="s">
        <v>117</v>
      </c>
      <c r="R19" s="1" t="s">
        <v>118</v>
      </c>
      <c r="S19" s="1" t="s">
        <v>119</v>
      </c>
      <c r="T19" s="1" t="s">
        <v>120</v>
      </c>
      <c r="U19" s="1" t="s">
        <v>121</v>
      </c>
      <c r="V19" s="1">
        <f t="shared" si="3"/>
        <v>0</v>
      </c>
      <c r="Y19" s="6" t="str">
        <f t="shared" si="4"/>
        <v>sh600028</v>
      </c>
      <c r="Z19" s="5">
        <f t="shared" si="5"/>
        <v>1.41</v>
      </c>
    </row>
    <row r="20" spans="1:28" x14ac:dyDescent="0.15">
      <c r="A20" t="str">
        <f t="shared" si="2"/>
        <v>601186</v>
      </c>
      <c r="B20" s="10" t="s">
        <v>8954</v>
      </c>
      <c r="C20" s="11" t="str">
        <f>VLOOKUP(A20,'Backup Dec6'!A:C,3,0)</f>
        <v>中国铁建</v>
      </c>
      <c r="D20" t="str">
        <f t="shared" si="6"/>
        <v>sh</v>
      </c>
      <c r="E20" t="s">
        <v>124</v>
      </c>
      <c r="F20" s="6" t="str">
        <f t="shared" si="0"/>
        <v>sh601186</v>
      </c>
      <c r="G20" s="5">
        <v>1.1100000000000001</v>
      </c>
      <c r="H20" s="5">
        <f>IF(ISNA(VLOOKUP(B20,Sheet1!A:B,2,0)),0,VLOOKUP(B20,Sheet1!A:B,2,0))</f>
        <v>1.1100000000000001</v>
      </c>
      <c r="I20">
        <f t="shared" si="1"/>
        <v>0</v>
      </c>
      <c r="J20" t="str">
        <f t="shared" si="7"/>
        <v>中国铁建</v>
      </c>
      <c r="K20" t="str">
        <f t="shared" si="11"/>
        <v>sh601186</v>
      </c>
      <c r="L20" t="str">
        <f t="shared" si="9"/>
        <v>-5.76</v>
      </c>
      <c r="M20" s="3">
        <f t="shared" si="10"/>
        <v>-6.3936000000000007E-2</v>
      </c>
      <c r="P20"/>
      <c r="Q20" s="1" t="s">
        <v>125</v>
      </c>
      <c r="R20" s="1" t="s">
        <v>126</v>
      </c>
      <c r="S20" s="1" t="s">
        <v>127</v>
      </c>
      <c r="T20" s="1" t="s">
        <v>128</v>
      </c>
      <c r="U20" s="1" t="s">
        <v>129</v>
      </c>
      <c r="V20" s="1">
        <f t="shared" si="3"/>
        <v>0</v>
      </c>
      <c r="Y20" s="6" t="str">
        <f t="shared" si="4"/>
        <v>sh601186</v>
      </c>
      <c r="Z20" s="5">
        <f t="shared" si="5"/>
        <v>1.1100000000000001</v>
      </c>
    </row>
    <row r="21" spans="1:28" x14ac:dyDescent="0.15">
      <c r="A21" t="str">
        <f t="shared" si="2"/>
        <v>601390</v>
      </c>
      <c r="B21" s="10" t="s">
        <v>8955</v>
      </c>
      <c r="C21" s="11" t="str">
        <f>VLOOKUP(A21,'Backup Dec6'!A:C,3,0)</f>
        <v>中国中铁</v>
      </c>
      <c r="D21" t="str">
        <f t="shared" si="6"/>
        <v>sh</v>
      </c>
      <c r="E21" t="s">
        <v>132</v>
      </c>
      <c r="F21" s="6" t="str">
        <f t="shared" si="0"/>
        <v>sh601390</v>
      </c>
      <c r="G21" s="5">
        <v>1.21</v>
      </c>
      <c r="H21" s="5">
        <f>IF(ISNA(VLOOKUP(B21,Sheet1!A:B,2,0)),0,VLOOKUP(B21,Sheet1!A:B,2,0))</f>
        <v>1.21</v>
      </c>
      <c r="I21">
        <f t="shared" si="1"/>
        <v>0</v>
      </c>
      <c r="J21" t="str">
        <f t="shared" si="7"/>
        <v>中国中铁</v>
      </c>
      <c r="K21" t="str">
        <f t="shared" si="11"/>
        <v>sh601390</v>
      </c>
      <c r="L21" t="str">
        <f t="shared" si="9"/>
        <v>-6.26</v>
      </c>
      <c r="M21" s="3">
        <f t="shared" si="10"/>
        <v>-7.5745999999999994E-2</v>
      </c>
      <c r="P21"/>
      <c r="Q21" s="1" t="s">
        <v>133</v>
      </c>
      <c r="R21" s="1" t="s">
        <v>134</v>
      </c>
      <c r="S21" s="1" t="s">
        <v>135</v>
      </c>
      <c r="T21" s="1" t="s">
        <v>136</v>
      </c>
      <c r="U21" s="1" t="s">
        <v>137</v>
      </c>
      <c r="V21" s="1">
        <f t="shared" si="3"/>
        <v>0</v>
      </c>
      <c r="Y21" s="6" t="str">
        <f t="shared" si="4"/>
        <v>sh601390</v>
      </c>
      <c r="Z21" s="5">
        <f t="shared" si="5"/>
        <v>1.21</v>
      </c>
    </row>
    <row r="22" spans="1:28" x14ac:dyDescent="0.15">
      <c r="A22" t="str">
        <f t="shared" si="2"/>
        <v>601088</v>
      </c>
      <c r="B22" s="10" t="s">
        <v>8956</v>
      </c>
      <c r="C22" s="11" t="str">
        <f>VLOOKUP(A22,'Backup Dec6'!A:C,3,0)</f>
        <v>中国神华</v>
      </c>
      <c r="D22" t="str">
        <f t="shared" si="6"/>
        <v>sh</v>
      </c>
      <c r="E22" t="s">
        <v>140</v>
      </c>
      <c r="F22" s="6" t="str">
        <f t="shared" si="0"/>
        <v>sh601088</v>
      </c>
      <c r="G22" s="5">
        <v>1.1000000000000001</v>
      </c>
      <c r="H22" s="5">
        <f>IF(ISNA(VLOOKUP(B22,Sheet1!A:B,2,0)),0,VLOOKUP(B22,Sheet1!A:B,2,0))</f>
        <v>1.1000000000000001</v>
      </c>
      <c r="I22">
        <f t="shared" si="1"/>
        <v>0</v>
      </c>
      <c r="J22" t="str">
        <f t="shared" si="7"/>
        <v>中国神华</v>
      </c>
      <c r="K22" t="str">
        <f t="shared" si="11"/>
        <v>sh601088</v>
      </c>
      <c r="L22" t="str">
        <f t="shared" si="9"/>
        <v>-3.79</v>
      </c>
      <c r="M22" s="3">
        <f t="shared" si="10"/>
        <v>-4.1690000000000005E-2</v>
      </c>
      <c r="P22"/>
      <c r="Q22" s="1" t="s">
        <v>141</v>
      </c>
      <c r="R22" s="1" t="s">
        <v>142</v>
      </c>
      <c r="S22" s="1" t="s">
        <v>143</v>
      </c>
      <c r="T22" s="1" t="s">
        <v>144</v>
      </c>
      <c r="U22" s="1" t="s">
        <v>145</v>
      </c>
      <c r="V22" s="1">
        <f t="shared" si="3"/>
        <v>0</v>
      </c>
      <c r="Y22" s="6" t="str">
        <f t="shared" si="4"/>
        <v>sh601088</v>
      </c>
      <c r="Z22" s="5">
        <f t="shared" si="5"/>
        <v>1.1000000000000001</v>
      </c>
      <c r="AB22" s="18">
        <f>UserName()</f>
        <v>0</v>
      </c>
    </row>
    <row r="23" spans="1:28" x14ac:dyDescent="0.15">
      <c r="A23" t="str">
        <f t="shared" si="2"/>
        <v>601989</v>
      </c>
      <c r="B23" s="10" t="s">
        <v>8957</v>
      </c>
      <c r="C23" s="11" t="str">
        <f>VLOOKUP(A23,'Backup Dec6'!A:C,3,0)</f>
        <v>中国重工</v>
      </c>
      <c r="D23" t="str">
        <f t="shared" si="6"/>
        <v>sh</v>
      </c>
      <c r="E23" t="s">
        <v>133</v>
      </c>
      <c r="F23" s="6" t="str">
        <f t="shared" si="0"/>
        <v>sh601989</v>
      </c>
      <c r="G23" s="5">
        <v>1.36</v>
      </c>
      <c r="H23" s="5">
        <f>IF(ISNA(VLOOKUP(B23,Sheet1!A:B,2,0)),0,VLOOKUP(B23,Sheet1!A:B,2,0))</f>
        <v>1.36</v>
      </c>
      <c r="I23">
        <f t="shared" si="1"/>
        <v>0</v>
      </c>
      <c r="J23" t="e">
        <f t="shared" si="7"/>
        <v>#N/A</v>
      </c>
      <c r="K23" t="str">
        <f t="shared" si="11"/>
        <v>sh601989</v>
      </c>
      <c r="L23" t="e">
        <f t="shared" si="9"/>
        <v>#N/A</v>
      </c>
      <c r="M23" s="3" t="e">
        <f t="shared" si="10"/>
        <v>#N/A</v>
      </c>
      <c r="P23"/>
      <c r="Q23" s="1" t="s">
        <v>147</v>
      </c>
      <c r="R23" s="1" t="s">
        <v>148</v>
      </c>
      <c r="S23" s="1" t="s">
        <v>149</v>
      </c>
      <c r="T23" s="1" t="s">
        <v>150</v>
      </c>
      <c r="U23" s="1" t="s">
        <v>151</v>
      </c>
      <c r="V23" s="1">
        <f t="shared" si="3"/>
        <v>0</v>
      </c>
      <c r="Y23" s="6" t="str">
        <f t="shared" si="4"/>
        <v>sh601989</v>
      </c>
      <c r="Z23" s="5">
        <f t="shared" si="5"/>
        <v>1.36</v>
      </c>
    </row>
    <row r="24" spans="1:28" x14ac:dyDescent="0.15">
      <c r="A24" t="str">
        <f t="shared" si="2"/>
        <v>601668</v>
      </c>
      <c r="B24" s="10" t="s">
        <v>8958</v>
      </c>
      <c r="C24" s="11" t="str">
        <f>VLOOKUP(A24,'Backup Dec6'!A:C,3,0)</f>
        <v>中国建筑</v>
      </c>
      <c r="D24" t="str">
        <f t="shared" si="6"/>
        <v>sh</v>
      </c>
      <c r="E24" t="s">
        <v>154</v>
      </c>
      <c r="F24" s="6" t="str">
        <f t="shared" si="0"/>
        <v>sh601668</v>
      </c>
      <c r="G24" s="5">
        <v>2.75</v>
      </c>
      <c r="H24" s="5">
        <f>IF(ISNA(VLOOKUP(B24,Sheet1!A:B,2,0)),0,VLOOKUP(B24,Sheet1!A:B,2,0))</f>
        <v>2.75</v>
      </c>
      <c r="I24">
        <f t="shared" ref="I24:I52" si="12">+H24-G24</f>
        <v>0</v>
      </c>
      <c r="J24" t="str">
        <f t="shared" si="7"/>
        <v>中国建筑</v>
      </c>
      <c r="K24" t="str">
        <f t="shared" ref="K24:K52" si="13">D24&amp;E24</f>
        <v>sh601668</v>
      </c>
      <c r="L24" t="str">
        <f t="shared" si="9"/>
        <v>-4.78</v>
      </c>
      <c r="M24" s="3">
        <f t="shared" ref="M24:M52" si="14">G24*L24/100</f>
        <v>-0.13145000000000001</v>
      </c>
      <c r="P24"/>
      <c r="Q24" s="1" t="s">
        <v>147</v>
      </c>
      <c r="R24" s="1" t="s">
        <v>148</v>
      </c>
      <c r="S24" s="1" t="s">
        <v>149</v>
      </c>
      <c r="T24" s="1" t="s">
        <v>150</v>
      </c>
      <c r="U24" s="1" t="s">
        <v>151</v>
      </c>
      <c r="V24" s="1">
        <f t="shared" si="3"/>
        <v>0</v>
      </c>
      <c r="Y24" s="6" t="str">
        <f t="shared" si="4"/>
        <v>sh601668</v>
      </c>
      <c r="Z24" s="5">
        <f t="shared" si="5"/>
        <v>2.75</v>
      </c>
    </row>
    <row r="25" spans="1:28" x14ac:dyDescent="0.15">
      <c r="A25" t="str">
        <f>E25</f>
        <v>600050</v>
      </c>
      <c r="B25" s="10" t="s">
        <v>9015</v>
      </c>
      <c r="C25" t="s">
        <v>9017</v>
      </c>
      <c r="D25" t="s">
        <v>9020</v>
      </c>
      <c r="E25" s="2" t="s">
        <v>9019</v>
      </c>
      <c r="F25" s="6" t="str">
        <f>D25&amp;E25</f>
        <v>sh600050</v>
      </c>
      <c r="G25" s="5">
        <v>1.42</v>
      </c>
      <c r="H25" s="5">
        <f>IF(ISNA(VLOOKUP(B25,Sheet1!A:B,2,0)),0,VLOOKUP(B25,Sheet1!A:B,2,0))</f>
        <v>1.42</v>
      </c>
      <c r="I25">
        <f>+H25-G25</f>
        <v>0</v>
      </c>
      <c r="J25" t="str">
        <f t="shared" si="7"/>
        <v>中国联通</v>
      </c>
      <c r="K25" t="str">
        <f>D25&amp;E25</f>
        <v>sh600050</v>
      </c>
      <c r="L25" t="str">
        <f t="shared" si="9"/>
        <v>-5.79</v>
      </c>
      <c r="M25" s="3">
        <f>G25*L25/100</f>
        <v>-8.2217999999999999E-2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>+F25</f>
        <v>sh600050</v>
      </c>
      <c r="Z25" s="5">
        <f>H25</f>
        <v>1.42</v>
      </c>
    </row>
    <row r="26" spans="1:28" x14ac:dyDescent="0.15">
      <c r="A26" t="str">
        <f t="shared" si="2"/>
        <v>600900</v>
      </c>
      <c r="B26" s="10" t="s">
        <v>8976</v>
      </c>
      <c r="C26" s="11" t="s">
        <v>9002</v>
      </c>
      <c r="D26" t="s">
        <v>8937</v>
      </c>
      <c r="E26" s="2" t="s">
        <v>8938</v>
      </c>
      <c r="F26" s="6" t="str">
        <f t="shared" si="0"/>
        <v>sh600900</v>
      </c>
      <c r="G26" s="5">
        <v>1.42</v>
      </c>
      <c r="H26" s="5">
        <f>IF(ISNA(VLOOKUP(B26,Sheet1!A:B,2,0)),0,VLOOKUP(B26,Sheet1!A:B,2,0))</f>
        <v>1.42</v>
      </c>
      <c r="I26">
        <f t="shared" si="12"/>
        <v>0</v>
      </c>
      <c r="J26" t="str">
        <f t="shared" si="7"/>
        <v>长江电力</v>
      </c>
      <c r="K26" t="str">
        <f t="shared" si="13"/>
        <v>sh600900</v>
      </c>
      <c r="L26" t="str">
        <f t="shared" si="9"/>
        <v>-1.71</v>
      </c>
      <c r="M26" s="3">
        <f t="shared" si="14"/>
        <v>-2.4281999999999998E-2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0</v>
      </c>
      <c r="Y26" s="6" t="str">
        <f t="shared" si="4"/>
        <v>sh600900</v>
      </c>
      <c r="Z26" s="5">
        <f t="shared" ref="Z26:Z52" si="15">H26</f>
        <v>1.42</v>
      </c>
    </row>
    <row r="27" spans="1:28" x14ac:dyDescent="0.15">
      <c r="A27" t="str">
        <f t="shared" si="2"/>
        <v>600030</v>
      </c>
      <c r="B27" s="10" t="s">
        <v>8977</v>
      </c>
      <c r="C27" s="11" t="str">
        <f>VLOOKUP(A27,'Backup Dec6'!A:C,3,0)</f>
        <v>中信证券</v>
      </c>
      <c r="D27" t="str">
        <f t="shared" si="6"/>
        <v>sh</v>
      </c>
      <c r="E27" t="s">
        <v>21</v>
      </c>
      <c r="F27" s="6" t="str">
        <f t="shared" si="0"/>
        <v>sh600030</v>
      </c>
      <c r="G27" s="5">
        <v>3.16</v>
      </c>
      <c r="H27" s="5">
        <f>IF(ISNA(VLOOKUP(B27,Sheet1!A:B,2,0)),0,VLOOKUP(B27,Sheet1!A:B,2,0))</f>
        <v>3.16</v>
      </c>
      <c r="I27">
        <f t="shared" si="12"/>
        <v>0</v>
      </c>
      <c r="J27" t="e">
        <f t="shared" si="7"/>
        <v>#N/A</v>
      </c>
      <c r="K27" t="str">
        <f t="shared" si="13"/>
        <v>sh600030</v>
      </c>
      <c r="L27" t="e">
        <f t="shared" si="9"/>
        <v>#N/A</v>
      </c>
      <c r="M27" s="3" t="e">
        <f t="shared" si="14"/>
        <v>#N/A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 t="shared" si="4"/>
        <v>sh600030</v>
      </c>
      <c r="Z27" s="5">
        <f t="shared" si="15"/>
        <v>3.16</v>
      </c>
    </row>
    <row r="28" spans="1:28" x14ac:dyDescent="0.15">
      <c r="A28" t="str">
        <f t="shared" si="2"/>
        <v>601766</v>
      </c>
      <c r="B28" s="10" t="s">
        <v>8959</v>
      </c>
      <c r="C28" s="11" t="str">
        <f>VLOOKUP(A28,'Backup Dec6'!A:C,3,0)</f>
        <v>中国中车</v>
      </c>
      <c r="D28" t="str">
        <f t="shared" si="6"/>
        <v>sh</v>
      </c>
      <c r="E28" t="s">
        <v>184</v>
      </c>
      <c r="F28" s="6" t="str">
        <f t="shared" si="0"/>
        <v>sh601766</v>
      </c>
      <c r="G28" s="5">
        <v>2.0499999999999998</v>
      </c>
      <c r="H28" s="5">
        <f>IF(ISNA(VLOOKUP(B28,Sheet1!A:B,2,0)),0,VLOOKUP(B28,Sheet1!A:B,2,0))</f>
        <v>2.0499999999999998</v>
      </c>
      <c r="I28">
        <f t="shared" si="12"/>
        <v>0</v>
      </c>
      <c r="J28" t="str">
        <f t="shared" si="7"/>
        <v>中国中车</v>
      </c>
      <c r="K28" t="str">
        <f t="shared" si="13"/>
        <v>sh601766</v>
      </c>
      <c r="L28" t="str">
        <f t="shared" si="9"/>
        <v>-4.31</v>
      </c>
      <c r="M28" s="3">
        <f t="shared" si="14"/>
        <v>-8.8354999999999975E-2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sh601766</v>
      </c>
      <c r="Z28" s="5">
        <f t="shared" si="15"/>
        <v>2.0499999999999998</v>
      </c>
    </row>
    <row r="29" spans="1:28" x14ac:dyDescent="0.15">
      <c r="A29" t="str">
        <f t="shared" si="2"/>
        <v>002027</v>
      </c>
      <c r="B29" s="10" t="s">
        <v>8979</v>
      </c>
      <c r="C29" s="11" t="str">
        <f>VLOOKUP(A29,'Backup Dec6'!A:C,3,0)</f>
        <v>分众传媒</v>
      </c>
      <c r="D29" t="s">
        <v>8916</v>
      </c>
      <c r="E29" s="2" t="s">
        <v>8915</v>
      </c>
      <c r="F29" s="6" t="str">
        <f t="shared" si="0"/>
        <v>sz002027</v>
      </c>
      <c r="G29" s="5">
        <v>1.29</v>
      </c>
      <c r="H29" s="5">
        <f>IF(ISNA(VLOOKUP(B29,Sheet1!A:B,2,0)),0,VLOOKUP(B29,Sheet1!A:B,2,0))</f>
        <v>1.29</v>
      </c>
      <c r="I29">
        <f t="shared" si="12"/>
        <v>0</v>
      </c>
      <c r="J29" t="str">
        <f t="shared" si="7"/>
        <v>七喜控股</v>
      </c>
      <c r="K29" t="str">
        <f t="shared" si="13"/>
        <v>sz002027</v>
      </c>
      <c r="L29" t="str">
        <f t="shared" si="9"/>
        <v>-0.06</v>
      </c>
      <c r="M29" s="3">
        <f t="shared" si="14"/>
        <v>-7.7399999999999995E-4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0</v>
      </c>
      <c r="Y29" s="6" t="str">
        <f t="shared" si="4"/>
        <v>sz002027</v>
      </c>
      <c r="Z29" s="5">
        <f t="shared" si="15"/>
        <v>1.29</v>
      </c>
    </row>
    <row r="30" spans="1:28" x14ac:dyDescent="0.15">
      <c r="A30" t="str">
        <f t="shared" si="2"/>
        <v>000776</v>
      </c>
      <c r="B30" s="10" t="s">
        <v>8961</v>
      </c>
      <c r="C30" s="11" t="str">
        <f>VLOOKUP(A30,'Backup Dec6'!A:C,3,0)</f>
        <v>广发证券</v>
      </c>
      <c r="D30" t="str">
        <f t="shared" si="6"/>
        <v>sz</v>
      </c>
      <c r="E30" s="2" t="s">
        <v>199</v>
      </c>
      <c r="F30" s="6" t="str">
        <f t="shared" si="0"/>
        <v>sz000776</v>
      </c>
      <c r="G30" s="5">
        <v>1.06</v>
      </c>
      <c r="H30" s="5">
        <f>IF(ISNA(VLOOKUP(B30,Sheet1!A:B,2,0)),0,VLOOKUP(B30,Sheet1!A:B,2,0))</f>
        <v>1.06</v>
      </c>
      <c r="I30">
        <f t="shared" si="12"/>
        <v>0</v>
      </c>
      <c r="J30" t="e">
        <f t="shared" si="7"/>
        <v>#N/A</v>
      </c>
      <c r="K30" t="str">
        <f t="shared" si="13"/>
        <v>sz000776</v>
      </c>
      <c r="L30" t="e">
        <f t="shared" si="9"/>
        <v>#N/A</v>
      </c>
      <c r="M30" s="3" t="e">
        <f t="shared" si="14"/>
        <v>#N/A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0</v>
      </c>
      <c r="Y30" s="6" t="str">
        <f t="shared" si="4"/>
        <v>sz000776</v>
      </c>
      <c r="Z30" s="5">
        <f t="shared" si="15"/>
        <v>1.06</v>
      </c>
    </row>
    <row r="31" spans="1:28" x14ac:dyDescent="0.15">
      <c r="A31" t="str">
        <f t="shared" si="2"/>
        <v>600606</v>
      </c>
      <c r="B31" s="10" t="s">
        <v>8981</v>
      </c>
      <c r="C31" s="11" t="str">
        <f>VLOOKUP(A31,'Backup Dec6'!A:C,3,0)</f>
        <v>绿地控股</v>
      </c>
      <c r="D31" t="s">
        <v>8931</v>
      </c>
      <c r="E31" s="2" t="s">
        <v>8932</v>
      </c>
      <c r="F31" s="6" t="str">
        <f t="shared" si="0"/>
        <v>sh600606</v>
      </c>
      <c r="G31" s="5">
        <v>0.36</v>
      </c>
      <c r="H31" s="5">
        <f>IF(ISNA(VLOOKUP(B31,Sheet1!A:B,2,0)),0,VLOOKUP(B31,Sheet1!A:B,2,0))</f>
        <v>0.36</v>
      </c>
      <c r="I31">
        <f t="shared" si="12"/>
        <v>0</v>
      </c>
      <c r="J31" t="str">
        <f t="shared" si="7"/>
        <v>绿地控股</v>
      </c>
      <c r="K31" t="str">
        <f t="shared" si="13"/>
        <v>sh600606</v>
      </c>
      <c r="L31" t="str">
        <f t="shared" si="9"/>
        <v>-3.89</v>
      </c>
      <c r="M31" s="3">
        <f t="shared" si="14"/>
        <v>-1.4004000000000001E-2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sh600606</v>
      </c>
      <c r="Z31" s="5">
        <f t="shared" si="15"/>
        <v>0.36</v>
      </c>
    </row>
    <row r="32" spans="1:28" x14ac:dyDescent="0.15">
      <c r="A32" t="str">
        <f t="shared" si="2"/>
        <v>601238</v>
      </c>
      <c r="B32" s="10" t="s">
        <v>8983</v>
      </c>
      <c r="C32" s="11" t="str">
        <f>VLOOKUP(A32,'Backup Dec6'!A:C,3,0)</f>
        <v>广汽集团</v>
      </c>
      <c r="D32" t="s">
        <v>8926</v>
      </c>
      <c r="E32" s="2" t="s">
        <v>8927</v>
      </c>
      <c r="F32" s="6" t="str">
        <f t="shared" si="0"/>
        <v>sh601238</v>
      </c>
      <c r="G32" s="5">
        <v>0.26</v>
      </c>
      <c r="H32" s="5">
        <f>IF(ISNA(VLOOKUP(B32,Sheet1!A:B,2,0)),0,VLOOKUP(B32,Sheet1!A:B,2,0))</f>
        <v>0.26</v>
      </c>
      <c r="I32">
        <f t="shared" si="12"/>
        <v>0</v>
      </c>
      <c r="J32" t="str">
        <f t="shared" si="7"/>
        <v>广汽集团</v>
      </c>
      <c r="K32" t="str">
        <f t="shared" si="13"/>
        <v>sh601238</v>
      </c>
      <c r="L32" t="str">
        <f t="shared" si="9"/>
        <v>-4.63</v>
      </c>
      <c r="M32" s="3">
        <f t="shared" si="14"/>
        <v>-1.2038E-2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sh601238</v>
      </c>
      <c r="Z32" s="5">
        <f t="shared" si="15"/>
        <v>0.26</v>
      </c>
    </row>
    <row r="33" spans="1:26" x14ac:dyDescent="0.15">
      <c r="A33" t="str">
        <f t="shared" si="2"/>
        <v>002736</v>
      </c>
      <c r="B33" s="10" t="s">
        <v>8985</v>
      </c>
      <c r="C33" s="11" t="str">
        <f>VLOOKUP(A33,'Backup Dec6'!A:C,3,0)</f>
        <v>国信证券</v>
      </c>
      <c r="D33" t="str">
        <f t="shared" si="6"/>
        <v>sz</v>
      </c>
      <c r="E33" s="2" t="s">
        <v>215</v>
      </c>
      <c r="F33" s="6" t="str">
        <f t="shared" si="0"/>
        <v>sz002736</v>
      </c>
      <c r="G33" s="5">
        <v>0.39</v>
      </c>
      <c r="H33" s="5">
        <f>IF(ISNA(VLOOKUP(B33,Sheet1!A:B,2,0)),0,VLOOKUP(B33,Sheet1!A:B,2,0))</f>
        <v>0.39</v>
      </c>
      <c r="I33">
        <f t="shared" si="12"/>
        <v>0</v>
      </c>
      <c r="J33" t="str">
        <f t="shared" si="7"/>
        <v>国信证券</v>
      </c>
      <c r="K33" t="str">
        <f t="shared" si="13"/>
        <v>sz002736</v>
      </c>
      <c r="L33" t="str">
        <f t="shared" si="9"/>
        <v>-3.91</v>
      </c>
      <c r="M33" s="3">
        <f t="shared" si="14"/>
        <v>-1.5249000000000002E-2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sz002736</v>
      </c>
      <c r="Z33" s="5">
        <f t="shared" si="15"/>
        <v>0.39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1.61</v>
      </c>
      <c r="H34" s="5">
        <f>IF(ISNA(VLOOKUP(B34,Sheet1!A:B,2,0)),0,VLOOKUP(B34,Sheet1!A:B,2,0))</f>
        <v>1.61</v>
      </c>
      <c r="I34">
        <f t="shared" si="12"/>
        <v>0</v>
      </c>
      <c r="J34" t="str">
        <f t="shared" si="7"/>
        <v>国泰君安</v>
      </c>
      <c r="K34" t="str">
        <f t="shared" si="13"/>
        <v>sh601211</v>
      </c>
      <c r="L34" t="str">
        <f t="shared" si="9"/>
        <v>-4.22</v>
      </c>
      <c r="M34" s="3">
        <f t="shared" si="14"/>
        <v>-6.7942000000000002E-2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5"/>
        <v>1.61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2.2200000000000002</v>
      </c>
      <c r="H35" s="5">
        <f>IF(ISNA(VLOOKUP(B35,Sheet1!A:B,2,0)),0,VLOOKUP(B35,Sheet1!A:B,2,0))</f>
        <v>2.2200000000000002</v>
      </c>
      <c r="I35">
        <f t="shared" si="12"/>
        <v>0</v>
      </c>
      <c r="J35" t="e">
        <f t="shared" si="7"/>
        <v>#N/A</v>
      </c>
      <c r="K35" t="str">
        <f t="shared" si="13"/>
        <v>sh600837</v>
      </c>
      <c r="L35" t="e">
        <f t="shared" si="9"/>
        <v>#N/A</v>
      </c>
      <c r="M35" s="3" t="e">
        <f t="shared" si="14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5"/>
        <v>2.2200000000000002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1.75</v>
      </c>
      <c r="H36" s="5">
        <f>IF(ISNA(VLOOKUP(B36,Sheet1!A:B,2,0)),0,VLOOKUP(B36,Sheet1!A:B,2,0))</f>
        <v>1.75</v>
      </c>
      <c r="I36">
        <f t="shared" si="12"/>
        <v>0</v>
      </c>
      <c r="J36" t="str">
        <f t="shared" si="7"/>
        <v>海康威视</v>
      </c>
      <c r="K36" t="str">
        <f t="shared" si="13"/>
        <v>sz002415</v>
      </c>
      <c r="L36" t="str">
        <f t="shared" si="9"/>
        <v>-3.64</v>
      </c>
      <c r="M36" s="3">
        <f t="shared" si="14"/>
        <v>-6.3700000000000007E-2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0</v>
      </c>
      <c r="Y36" s="6" t="str">
        <f t="shared" si="4"/>
        <v>sz002415</v>
      </c>
      <c r="Z36" s="5">
        <f t="shared" si="15"/>
        <v>1.75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1.1299999999999999</v>
      </c>
      <c r="H37" s="5">
        <f>IF(ISNA(VLOOKUP(B37,Sheet1!A:B,2,0)),0,VLOOKUP(B37,Sheet1!A:B,2,0))</f>
        <v>1.1299999999999999</v>
      </c>
      <c r="I37">
        <f t="shared" si="12"/>
        <v>0</v>
      </c>
      <c r="J37" t="str">
        <f t="shared" si="7"/>
        <v>华泰证券</v>
      </c>
      <c r="K37" t="str">
        <f t="shared" si="13"/>
        <v>sh601688</v>
      </c>
      <c r="L37" t="str">
        <f t="shared" si="9"/>
        <v>-3.67</v>
      </c>
      <c r="M37" s="3">
        <f t="shared" si="14"/>
        <v>-4.1470999999999994E-2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5"/>
        <v>1.1299999999999999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2.71</v>
      </c>
      <c r="H38" s="5">
        <f>IF(ISNA(VLOOKUP(B38,Sheet1!A:B,2,0)),0,VLOOKUP(B38,Sheet1!A:B,2,0))</f>
        <v>2.71</v>
      </c>
      <c r="I38">
        <f t="shared" si="12"/>
        <v>0</v>
      </c>
      <c r="J38" t="str">
        <f t="shared" si="7"/>
        <v>工商银行</v>
      </c>
      <c r="K38" t="str">
        <f t="shared" si="13"/>
        <v>sh601398</v>
      </c>
      <c r="L38" t="str">
        <f t="shared" si="9"/>
        <v>-1.86</v>
      </c>
      <c r="M38" s="3">
        <f t="shared" si="14"/>
        <v>-5.0406000000000006E-2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0</v>
      </c>
      <c r="Y38" s="6" t="str">
        <f t="shared" si="4"/>
        <v>sh601398</v>
      </c>
      <c r="Z38" s="5">
        <f t="shared" si="15"/>
        <v>2.71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5.4</v>
      </c>
      <c r="H39" s="5">
        <f>IF(ISNA(VLOOKUP(B39,Sheet1!A:B,2,0)),0,VLOOKUP(B39,Sheet1!A:B,2,0))</f>
        <v>5.4</v>
      </c>
      <c r="I39">
        <f t="shared" si="12"/>
        <v>0</v>
      </c>
      <c r="J39" t="e">
        <f t="shared" si="7"/>
        <v>#N/A</v>
      </c>
      <c r="K39" t="str">
        <f t="shared" si="13"/>
        <v>sh601166</v>
      </c>
      <c r="L39" t="e">
        <f t="shared" si="9"/>
        <v>#N/A</v>
      </c>
      <c r="M39" s="3" t="e">
        <f t="shared" si="14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5"/>
        <v>5.4</v>
      </c>
    </row>
    <row r="40" spans="1:26" x14ac:dyDescent="0.15">
      <c r="A40" t="str">
        <f t="shared" si="2"/>
        <v>002304</v>
      </c>
      <c r="B40" s="10" t="s">
        <v>8974</v>
      </c>
      <c r="C40" s="11" t="str">
        <f>VLOOKUP(A40,'Backup Dec6'!A:C,3,0)</f>
        <v>洋河股份</v>
      </c>
      <c r="D40" t="s">
        <v>8921</v>
      </c>
      <c r="E40" s="2" t="s">
        <v>8924</v>
      </c>
      <c r="F40" s="6" t="str">
        <f t="shared" si="0"/>
        <v>sz002304</v>
      </c>
      <c r="G40" s="5">
        <v>0.77</v>
      </c>
      <c r="H40" s="5">
        <f>IF(ISNA(VLOOKUP(B40,Sheet1!A:B,2,0)),0,VLOOKUP(B40,Sheet1!A:B,2,0))</f>
        <v>0.77</v>
      </c>
      <c r="I40">
        <f t="shared" si="12"/>
        <v>0</v>
      </c>
      <c r="J40" t="str">
        <f t="shared" si="7"/>
        <v>洋河股份</v>
      </c>
      <c r="K40" t="str">
        <f t="shared" si="13"/>
        <v>sz002304</v>
      </c>
      <c r="L40" t="str">
        <f t="shared" si="9"/>
        <v>-2.10</v>
      </c>
      <c r="M40" s="3">
        <f t="shared" si="14"/>
        <v>-1.6170000000000004E-2</v>
      </c>
      <c r="P40"/>
      <c r="Q40" s="1" t="s">
        <v>147</v>
      </c>
      <c r="R40" s="1" t="s">
        <v>148</v>
      </c>
      <c r="S40" s="1" t="s">
        <v>149</v>
      </c>
      <c r="T40" s="1" t="s">
        <v>150</v>
      </c>
      <c r="U40" s="1" t="s">
        <v>151</v>
      </c>
      <c r="V40" s="1">
        <f t="shared" si="3"/>
        <v>0</v>
      </c>
      <c r="Y40" s="6" t="str">
        <f t="shared" si="4"/>
        <v>sz002304</v>
      </c>
      <c r="Z40" s="5">
        <f t="shared" si="15"/>
        <v>0.77</v>
      </c>
    </row>
    <row r="41" spans="1:26" x14ac:dyDescent="0.15">
      <c r="A41" t="str">
        <f t="shared" si="2"/>
        <v>600519</v>
      </c>
      <c r="B41" s="10" t="s">
        <v>8963</v>
      </c>
      <c r="C41" s="11" t="str">
        <f>VLOOKUP(A41,'Backup Dec6'!A:C,3,0)</f>
        <v>贵州茅台</v>
      </c>
      <c r="D41" t="str">
        <f t="shared" si="6"/>
        <v>sh</v>
      </c>
      <c r="E41" t="s">
        <v>283</v>
      </c>
      <c r="F41" s="6" t="str">
        <f t="shared" si="0"/>
        <v>sh600519</v>
      </c>
      <c r="G41" s="5">
        <v>5.22</v>
      </c>
      <c r="H41" s="5">
        <f>IF(ISNA(VLOOKUP(B41,Sheet1!A:B,2,0)),0,VLOOKUP(B41,Sheet1!A:B,2,0))</f>
        <v>5.22</v>
      </c>
      <c r="I41">
        <f t="shared" si="12"/>
        <v>0</v>
      </c>
      <c r="J41" t="str">
        <f t="shared" si="7"/>
        <v>贵州茅台</v>
      </c>
      <c r="K41" t="str">
        <f t="shared" si="13"/>
        <v>sh600519</v>
      </c>
      <c r="L41" t="str">
        <f t="shared" si="9"/>
        <v>-2.84</v>
      </c>
      <c r="M41" s="3">
        <f t="shared" si="14"/>
        <v>-0.14824799999999999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si="3"/>
        <v>0</v>
      </c>
      <c r="Y41" s="6" t="str">
        <f t="shared" si="4"/>
        <v>sh600519</v>
      </c>
      <c r="Z41" s="5">
        <f t="shared" si="15"/>
        <v>5.22</v>
      </c>
    </row>
    <row r="42" spans="1:26" x14ac:dyDescent="0.15">
      <c r="A42" t="str">
        <f t="shared" si="2"/>
        <v>000333</v>
      </c>
      <c r="B42" s="10" t="s">
        <v>8964</v>
      </c>
      <c r="C42" s="11" t="str">
        <f>VLOOKUP(A42,'Backup Dec6'!A:C,3,0)</f>
        <v>美的集团</v>
      </c>
      <c r="D42" t="str">
        <f t="shared" si="6"/>
        <v>sz</v>
      </c>
      <c r="E42" s="2" t="s">
        <v>291</v>
      </c>
      <c r="F42" s="6" t="str">
        <f t="shared" si="0"/>
        <v>sz000333</v>
      </c>
      <c r="G42" s="5">
        <v>3.43</v>
      </c>
      <c r="H42" s="5">
        <f>IF(ISNA(VLOOKUP(B42,Sheet1!A:B,2,0)),0,VLOOKUP(B42,Sheet1!A:B,2,0))</f>
        <v>3.43</v>
      </c>
      <c r="I42">
        <f t="shared" si="12"/>
        <v>0</v>
      </c>
      <c r="J42" t="str">
        <f t="shared" si="7"/>
        <v>美的集团</v>
      </c>
      <c r="K42" t="str">
        <f t="shared" si="13"/>
        <v>sz000333</v>
      </c>
      <c r="L42" t="str">
        <f t="shared" si="9"/>
        <v>-4.09</v>
      </c>
      <c r="M42" s="3">
        <f t="shared" si="14"/>
        <v>-0.140287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3"/>
        <v>0</v>
      </c>
      <c r="Y42" s="6" t="str">
        <f t="shared" si="4"/>
        <v>sz000333</v>
      </c>
      <c r="Z42" s="5">
        <f t="shared" si="15"/>
        <v>3.43</v>
      </c>
    </row>
    <row r="43" spans="1:26" x14ac:dyDescent="0.15">
      <c r="A43" t="str">
        <f t="shared" si="2"/>
        <v>601336</v>
      </c>
      <c r="B43" s="10" t="s">
        <v>8965</v>
      </c>
      <c r="C43" s="11" t="str">
        <f>VLOOKUP(A43,'Backup Dec6'!A:C,3,0)</f>
        <v>新华保险</v>
      </c>
      <c r="D43" t="str">
        <f t="shared" si="6"/>
        <v>sh</v>
      </c>
      <c r="E43" t="s">
        <v>299</v>
      </c>
      <c r="F43" s="6" t="str">
        <f t="shared" si="0"/>
        <v>sh601336</v>
      </c>
      <c r="G43" s="5">
        <v>0.69</v>
      </c>
      <c r="H43" s="5">
        <f>IF(ISNA(VLOOKUP(B43,Sheet1!A:B,2,0)),0,VLOOKUP(B43,Sheet1!A:B,2,0))</f>
        <v>0.69</v>
      </c>
      <c r="I43">
        <f t="shared" si="12"/>
        <v>0</v>
      </c>
      <c r="J43" t="e">
        <f t="shared" si="7"/>
        <v>#N/A</v>
      </c>
      <c r="K43" t="str">
        <f t="shared" si="13"/>
        <v>sh601336</v>
      </c>
      <c r="L43" t="e">
        <f t="shared" si="9"/>
        <v>#N/A</v>
      </c>
      <c r="M43" s="3" t="e">
        <f t="shared" si="14"/>
        <v>#N/A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3"/>
        <v>0</v>
      </c>
      <c r="Y43" s="6" t="str">
        <f t="shared" si="4"/>
        <v>sh601336</v>
      </c>
      <c r="Z43" s="5">
        <f t="shared" si="15"/>
        <v>0.69</v>
      </c>
    </row>
    <row r="44" spans="1:26" x14ac:dyDescent="0.15">
      <c r="A44" t="str">
        <f t="shared" si="2"/>
        <v>601857</v>
      </c>
      <c r="B44" s="10" t="s">
        <v>8966</v>
      </c>
      <c r="C44" s="11" t="str">
        <f>VLOOKUP(A44,'Backup Dec6'!A:C,3,0)</f>
        <v>中国石油</v>
      </c>
      <c r="D44" t="str">
        <f t="shared" si="6"/>
        <v>sh</v>
      </c>
      <c r="E44" t="s">
        <v>307</v>
      </c>
      <c r="F44" s="6" t="str">
        <f t="shared" si="0"/>
        <v>sh601857</v>
      </c>
      <c r="G44" s="5">
        <v>0.77</v>
      </c>
      <c r="H44" s="5">
        <f>IF(ISNA(VLOOKUP(B44,Sheet1!A:B,2,0)),0,VLOOKUP(B44,Sheet1!A:B,2,0))</f>
        <v>0.77</v>
      </c>
      <c r="I44">
        <f t="shared" si="12"/>
        <v>0</v>
      </c>
      <c r="J44" t="str">
        <f t="shared" si="7"/>
        <v>中国石油</v>
      </c>
      <c r="K44" t="str">
        <f t="shared" si="13"/>
        <v>sh601857</v>
      </c>
      <c r="L44" t="str">
        <f t="shared" si="9"/>
        <v>-3.80</v>
      </c>
      <c r="M44" s="3">
        <f t="shared" si="14"/>
        <v>-2.9259999999999998E-2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3"/>
        <v>0</v>
      </c>
      <c r="Y44" s="6" t="str">
        <f t="shared" si="4"/>
        <v>sh601857</v>
      </c>
      <c r="Z44" s="5">
        <f t="shared" si="15"/>
        <v>0.77</v>
      </c>
    </row>
    <row r="45" spans="1:26" x14ac:dyDescent="0.15">
      <c r="A45" t="str">
        <f t="shared" si="2"/>
        <v>000001</v>
      </c>
      <c r="B45" s="10" t="s">
        <v>8967</v>
      </c>
      <c r="C45" s="11" t="str">
        <f>VLOOKUP(A45,'Backup Dec6'!A:C,3,0)</f>
        <v>平安银行</v>
      </c>
      <c r="D45" t="str">
        <f t="shared" si="6"/>
        <v>sz</v>
      </c>
      <c r="E45" s="2" t="s">
        <v>314</v>
      </c>
      <c r="F45" s="6" t="str">
        <f t="shared" si="0"/>
        <v>sz000001</v>
      </c>
      <c r="G45" s="5">
        <v>1.62</v>
      </c>
      <c r="H45" s="5">
        <f>IF(ISNA(VLOOKUP(B45,Sheet1!A:B,2,0)),0,VLOOKUP(B45,Sheet1!A:B,2,0))</f>
        <v>1.62</v>
      </c>
      <c r="I45">
        <f t="shared" si="12"/>
        <v>0</v>
      </c>
      <c r="J45" t="str">
        <f t="shared" si="7"/>
        <v>平安银行</v>
      </c>
      <c r="K45" t="str">
        <f t="shared" si="13"/>
        <v>sz000001</v>
      </c>
      <c r="L45" t="str">
        <f t="shared" si="9"/>
        <v>-2.88</v>
      </c>
      <c r="M45" s="3">
        <f t="shared" si="14"/>
        <v>-4.6656000000000003E-2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3"/>
        <v>0</v>
      </c>
      <c r="Y45" s="6" t="str">
        <f t="shared" si="4"/>
        <v>sz000001</v>
      </c>
      <c r="Z45" s="5">
        <f t="shared" si="15"/>
        <v>1.62</v>
      </c>
    </row>
    <row r="46" spans="1:26" x14ac:dyDescent="0.15">
      <c r="A46" t="str">
        <f t="shared" si="2"/>
        <v>601318</v>
      </c>
      <c r="B46" s="10" t="s">
        <v>8940</v>
      </c>
      <c r="C46" s="11" t="str">
        <f>VLOOKUP(A46,'Backup Dec6'!A:C,3,0)</f>
        <v>中国平安</v>
      </c>
      <c r="D46" t="str">
        <f t="shared" si="6"/>
        <v>sh</v>
      </c>
      <c r="E46" t="s">
        <v>69</v>
      </c>
      <c r="F46" s="6" t="str">
        <f t="shared" si="0"/>
        <v>sh601318</v>
      </c>
      <c r="G46" s="5">
        <v>10.72</v>
      </c>
      <c r="H46" s="5">
        <f>IF(ISNA(VLOOKUP(B46,Sheet1!A:B,2,0)),0,VLOOKUP(B46,Sheet1!A:B,2,0))</f>
        <v>10.72</v>
      </c>
      <c r="I46">
        <f t="shared" si="12"/>
        <v>0</v>
      </c>
      <c r="J46" t="e">
        <f t="shared" si="7"/>
        <v>#N/A</v>
      </c>
      <c r="K46" t="str">
        <f t="shared" si="13"/>
        <v>sh601318</v>
      </c>
      <c r="L46" t="e">
        <f t="shared" si="9"/>
        <v>#N/A</v>
      </c>
      <c r="M46" s="3" t="e">
        <f t="shared" si="14"/>
        <v>#N/A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3"/>
        <v>0</v>
      </c>
      <c r="Y46" s="6" t="str">
        <f t="shared" si="4"/>
        <v>sh601318</v>
      </c>
      <c r="Z46" s="5">
        <f t="shared" si="15"/>
        <v>10.72</v>
      </c>
    </row>
    <row r="47" spans="1:26" x14ac:dyDescent="0.15">
      <c r="A47" t="str">
        <f t="shared" si="2"/>
        <v>600048</v>
      </c>
      <c r="B47" s="10" t="s">
        <v>8980</v>
      </c>
      <c r="C47" s="11" t="str">
        <f>VLOOKUP(A47,'Backup Dec6'!A:C,3,0)</f>
        <v>保利地产</v>
      </c>
      <c r="D47" t="s">
        <v>8931</v>
      </c>
      <c r="E47" s="2" t="s">
        <v>8934</v>
      </c>
      <c r="F47" s="6" t="str">
        <f t="shared" si="0"/>
        <v>sh600048</v>
      </c>
      <c r="G47" s="5">
        <v>1.39</v>
      </c>
      <c r="H47" s="5">
        <f>IF(ISNA(VLOOKUP(B47,Sheet1!A:B,2,0)),0,VLOOKUP(B47,Sheet1!A:B,2,0))</f>
        <v>1.39</v>
      </c>
      <c r="I47">
        <f t="shared" si="12"/>
        <v>0</v>
      </c>
      <c r="J47" t="str">
        <f t="shared" si="7"/>
        <v>保利地产</v>
      </c>
      <c r="K47" t="str">
        <f t="shared" si="13"/>
        <v>sh600048</v>
      </c>
      <c r="L47" t="str">
        <f t="shared" si="9"/>
        <v>-6.02</v>
      </c>
      <c r="M47" s="3">
        <f t="shared" si="14"/>
        <v>-8.3677999999999989E-2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3"/>
        <v>0</v>
      </c>
      <c r="Y47" s="6" t="str">
        <f t="shared" si="4"/>
        <v>sh600048</v>
      </c>
      <c r="Z47" s="5">
        <f t="shared" si="15"/>
        <v>1.39</v>
      </c>
    </row>
    <row r="48" spans="1:26" x14ac:dyDescent="0.15">
      <c r="A48" t="str">
        <f t="shared" si="2"/>
        <v>600104</v>
      </c>
      <c r="B48" s="10" t="s">
        <v>8982</v>
      </c>
      <c r="C48" s="11" t="str">
        <f>VLOOKUP(A48,'Backup Dec6'!A:C,3,0)</f>
        <v>上汽集团</v>
      </c>
      <c r="D48" t="str">
        <f t="shared" si="6"/>
        <v>sh</v>
      </c>
      <c r="E48" t="s">
        <v>337</v>
      </c>
      <c r="F48" s="6" t="str">
        <f t="shared" si="0"/>
        <v>sh600104</v>
      </c>
      <c r="G48" s="5">
        <v>1.78</v>
      </c>
      <c r="H48" s="5">
        <f>IF(ISNA(VLOOKUP(B48,Sheet1!A:B,2,0)),0,VLOOKUP(B48,Sheet1!A:B,2,0))</f>
        <v>1.78</v>
      </c>
      <c r="I48">
        <f t="shared" si="12"/>
        <v>0</v>
      </c>
      <c r="J48" t="str">
        <f t="shared" si="7"/>
        <v>上汽集团</v>
      </c>
      <c r="K48" t="str">
        <f t="shared" si="13"/>
        <v>sh600104</v>
      </c>
      <c r="L48" t="str">
        <f t="shared" si="9"/>
        <v>-0.71</v>
      </c>
      <c r="M48" s="3">
        <f t="shared" si="14"/>
        <v>-1.2638E-2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3"/>
        <v>0</v>
      </c>
      <c r="Y48" s="6" t="str">
        <f t="shared" si="4"/>
        <v>sh600104</v>
      </c>
      <c r="Z48" s="5">
        <f t="shared" si="15"/>
        <v>1.78</v>
      </c>
    </row>
    <row r="49" spans="1:26" x14ac:dyDescent="0.15">
      <c r="A49" t="str">
        <f t="shared" si="2"/>
        <v>600018</v>
      </c>
      <c r="B49" s="10" t="s">
        <v>8984</v>
      </c>
      <c r="C49" s="11" t="str">
        <f>VLOOKUP(A49,'Backup Dec6'!A:C,3,0)</f>
        <v>上港集团</v>
      </c>
      <c r="D49" t="str">
        <f t="shared" si="6"/>
        <v>sh</v>
      </c>
      <c r="E49" t="s">
        <v>353</v>
      </c>
      <c r="F49" s="6" t="str">
        <f t="shared" si="0"/>
        <v>sh600018</v>
      </c>
      <c r="G49" s="5">
        <v>0.5</v>
      </c>
      <c r="H49" s="5">
        <f>IF(ISNA(VLOOKUP(B49,Sheet1!A:B,2,0)),0,VLOOKUP(B49,Sheet1!A:B,2,0))</f>
        <v>0.5</v>
      </c>
      <c r="I49">
        <f t="shared" si="12"/>
        <v>0</v>
      </c>
      <c r="J49" t="str">
        <f t="shared" si="7"/>
        <v>上港集团</v>
      </c>
      <c r="K49" t="str">
        <f t="shared" si="13"/>
        <v>sh600018</v>
      </c>
      <c r="L49" t="str">
        <f t="shared" si="9"/>
        <v>-5.88</v>
      </c>
      <c r="M49" s="3">
        <f t="shared" si="14"/>
        <v>-2.9399999999999999E-2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3"/>
        <v>0</v>
      </c>
      <c r="Y49" s="6" t="str">
        <f t="shared" si="4"/>
        <v>sh600018</v>
      </c>
      <c r="Z49" s="5">
        <f t="shared" si="15"/>
        <v>0.5</v>
      </c>
    </row>
    <row r="50" spans="1:26" x14ac:dyDescent="0.15">
      <c r="A50" t="str">
        <f t="shared" si="2"/>
        <v>600000</v>
      </c>
      <c r="B50" s="10" t="s">
        <v>8968</v>
      </c>
      <c r="C50" s="11" t="str">
        <f>VLOOKUP(A50,'Backup Dec6'!A:C,3,0)</f>
        <v>浦发银行</v>
      </c>
      <c r="D50" t="str">
        <f t="shared" si="6"/>
        <v>sh</v>
      </c>
      <c r="E50" t="s">
        <v>360</v>
      </c>
      <c r="F50" s="6" t="str">
        <f t="shared" si="0"/>
        <v>sh600000</v>
      </c>
      <c r="G50" s="5">
        <v>4.24</v>
      </c>
      <c r="H50" s="5">
        <f>IF(ISNA(VLOOKUP(B50,Sheet1!A:B,2,0)),0,VLOOKUP(B50,Sheet1!A:B,2,0))</f>
        <v>4.24</v>
      </c>
      <c r="I50">
        <f t="shared" si="12"/>
        <v>0</v>
      </c>
      <c r="J50" t="str">
        <f t="shared" si="7"/>
        <v>浦发银行</v>
      </c>
      <c r="K50" t="str">
        <f t="shared" si="13"/>
        <v>sh600000</v>
      </c>
      <c r="L50" t="str">
        <f t="shared" si="9"/>
        <v>-1.90</v>
      </c>
      <c r="M50" s="3">
        <f t="shared" si="14"/>
        <v>-8.0559999999999993E-2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3"/>
        <v>0</v>
      </c>
      <c r="Y50" s="6" t="str">
        <f t="shared" si="4"/>
        <v>sh600000</v>
      </c>
      <c r="Z50" s="5">
        <f t="shared" si="15"/>
        <v>4.24</v>
      </c>
    </row>
    <row r="51" spans="1:26" x14ac:dyDescent="0.15">
      <c r="A51" t="str">
        <f t="shared" si="2"/>
        <v>000166</v>
      </c>
      <c r="B51" s="10" t="s">
        <v>8970</v>
      </c>
      <c r="C51" s="11" t="str">
        <f>VLOOKUP(A51,'Backup Dec6'!A:C,3,0)</f>
        <v>申万宏源</v>
      </c>
      <c r="D51" s="2" t="s">
        <v>8996</v>
      </c>
      <c r="E51" s="2" t="s">
        <v>375</v>
      </c>
      <c r="F51" s="6" t="str">
        <f t="shared" ref="F51:F52" si="16">D51&amp;E51</f>
        <v>sz000166</v>
      </c>
      <c r="G51" s="5">
        <v>0.77</v>
      </c>
      <c r="H51" s="5">
        <f>IF(ISNA(VLOOKUP(B51,Sheet1!A:B,2,0)),0,VLOOKUP(B51,Sheet1!A:B,2,0))</f>
        <v>0.77</v>
      </c>
      <c r="I51">
        <f t="shared" si="12"/>
        <v>0</v>
      </c>
      <c r="J51" t="str">
        <f t="shared" si="7"/>
        <v>申万宏源</v>
      </c>
      <c r="K51" t="str">
        <f t="shared" si="13"/>
        <v>sz000166</v>
      </c>
      <c r="L51" t="str">
        <f t="shared" si="9"/>
        <v>-2.46</v>
      </c>
      <c r="M51" s="3">
        <f t="shared" si="14"/>
        <v>-1.8942000000000001E-2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3"/>
        <v>0</v>
      </c>
      <c r="Y51" s="6" t="str">
        <f t="shared" si="4"/>
        <v>sz000166</v>
      </c>
      <c r="Z51" s="5">
        <f t="shared" si="15"/>
        <v>0.77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8997</v>
      </c>
      <c r="E52" s="2" t="s">
        <v>8922</v>
      </c>
      <c r="F52" s="6" t="str">
        <f t="shared" si="16"/>
        <v>sz000858</v>
      </c>
      <c r="G52" s="5">
        <v>2.27</v>
      </c>
      <c r="H52" s="5">
        <f>IF(ISNA(VLOOKUP(B52,Sheet1!A:B,2,0)),0,VLOOKUP(B52,Sheet1!A:B,2,0))</f>
        <v>2.27</v>
      </c>
      <c r="I52">
        <f t="shared" si="12"/>
        <v>0</v>
      </c>
      <c r="J52" t="str">
        <f t="shared" si="7"/>
        <v>五 粮 液</v>
      </c>
      <c r="K52" t="str">
        <f t="shared" si="13"/>
        <v>sz000858</v>
      </c>
      <c r="L52" t="str">
        <f t="shared" si="9"/>
        <v>-2.88</v>
      </c>
      <c r="M52" s="3">
        <f t="shared" si="14"/>
        <v>-6.537599999999999E-2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3"/>
        <v>0</v>
      </c>
      <c r="Y52" s="6" t="str">
        <f t="shared" si="4"/>
        <v>sz000858</v>
      </c>
      <c r="Z52" s="5">
        <f t="shared" si="15"/>
        <v>2.27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9</xdr:row>
                    <xdr:rowOff>19050</xdr:rowOff>
                  </from>
                  <to>
                    <xdr:col>28</xdr:col>
                    <xdr:colOff>209550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11</xdr:row>
                    <xdr:rowOff>114300</xdr:rowOff>
                  </from>
                  <to>
                    <xdr:col>28</xdr:col>
                    <xdr:colOff>247650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C2" sqref="C2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9011</v>
      </c>
      <c r="B1" s="14" t="s">
        <v>9003</v>
      </c>
      <c r="C1" s="14" t="s">
        <v>9004</v>
      </c>
      <c r="E1" s="14" t="s">
        <v>9005</v>
      </c>
      <c r="F1" s="15" t="s">
        <v>9006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9007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9007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9007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9007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9008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9007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9007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9007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9007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9007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9007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9008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9007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9007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9007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9007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9007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9007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9007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9007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9007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9007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9007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9007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9007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9009</v>
      </c>
      <c r="D27" s="14" t="s">
        <v>9008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9008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9007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9007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9008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9007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9007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9008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9007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9007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9007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9008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9007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9008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9007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9007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9008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9007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9007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9007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9007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9007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9008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9008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9010</v>
      </c>
      <c r="D51" s="16" t="s">
        <v>9008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1"/>
  <sheetViews>
    <sheetView topLeftCell="A39" zoomScale="115" zoomScaleNormal="115" workbookViewId="0">
      <selection activeCell="A51" sqref="A51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3.04</v>
      </c>
      <c r="C2" s="4">
        <f>VLOOKUP(A2,Current!B:H,7,0)</f>
        <v>3.04</v>
      </c>
    </row>
    <row r="3" spans="1:3" x14ac:dyDescent="0.15">
      <c r="A3" s="10" t="s">
        <v>8954</v>
      </c>
      <c r="B3" s="11">
        <v>1.1100000000000001</v>
      </c>
      <c r="C3" s="4">
        <f>VLOOKUP(A3,Current!B:H,7,0)</f>
        <v>1.1100000000000001</v>
      </c>
    </row>
    <row r="4" spans="1:3" x14ac:dyDescent="0.15">
      <c r="A4" s="10" t="s">
        <v>8992</v>
      </c>
      <c r="B4" s="11">
        <v>2.71</v>
      </c>
      <c r="C4" s="4">
        <f>VLOOKUP(A4,Current!B:H,7,0)</f>
        <v>2.71</v>
      </c>
    </row>
    <row r="5" spans="1:3" x14ac:dyDescent="0.15">
      <c r="A5" s="10" t="s">
        <v>8973</v>
      </c>
      <c r="B5" s="11">
        <v>2.4</v>
      </c>
      <c r="C5" s="4">
        <f>VLOOKUP(A5,Current!B:H,7,0)</f>
        <v>2.4</v>
      </c>
    </row>
    <row r="6" spans="1:3" x14ac:dyDescent="0.15">
      <c r="A6" s="10" t="s">
        <v>8955</v>
      </c>
      <c r="B6" s="11">
        <v>1.21</v>
      </c>
      <c r="C6" s="4">
        <f>VLOOKUP(A6,Current!B:H,7,0)</f>
        <v>1.21</v>
      </c>
    </row>
    <row r="7" spans="1:3" x14ac:dyDescent="0.15">
      <c r="A7" s="10" t="s">
        <v>8962</v>
      </c>
      <c r="B7" s="11">
        <v>5.4</v>
      </c>
      <c r="C7" s="4">
        <f>VLOOKUP(A7,Current!B:H,7,0)</f>
        <v>5.4</v>
      </c>
    </row>
    <row r="8" spans="1:3" x14ac:dyDescent="0.15">
      <c r="A8" s="10" t="s">
        <v>8944</v>
      </c>
      <c r="B8" s="11">
        <v>1.9</v>
      </c>
      <c r="C8" s="4">
        <f>VLOOKUP(A8,Current!B:H,7,0)</f>
        <v>1.9</v>
      </c>
    </row>
    <row r="9" spans="1:3" x14ac:dyDescent="0.15">
      <c r="A9" s="10" t="s">
        <v>8956</v>
      </c>
      <c r="B9" s="11">
        <v>1.1000000000000001</v>
      </c>
      <c r="C9" s="4">
        <f>VLOOKUP(A9,Current!B:H,7,0)</f>
        <v>1.1000000000000001</v>
      </c>
    </row>
    <row r="10" spans="1:3" x14ac:dyDescent="0.15">
      <c r="A10" s="10" t="s">
        <v>8974</v>
      </c>
      <c r="B10" s="11">
        <v>0.77</v>
      </c>
      <c r="C10" s="4">
        <f>VLOOKUP(A10,Current!B:H,7,0)</f>
        <v>0.77</v>
      </c>
    </row>
    <row r="11" spans="1:3" x14ac:dyDescent="0.15">
      <c r="A11" s="10" t="s">
        <v>8975</v>
      </c>
      <c r="B11" s="11">
        <v>3.02</v>
      </c>
      <c r="C11" s="4">
        <f>VLOOKUP(A11,Current!B:H,7,0)</f>
        <v>3.02</v>
      </c>
    </row>
    <row r="12" spans="1:3" x14ac:dyDescent="0.15">
      <c r="A12" s="10" t="s">
        <v>8957</v>
      </c>
      <c r="B12" s="11">
        <v>1.36</v>
      </c>
      <c r="C12" s="4">
        <f>VLOOKUP(A12,Current!B:H,7,0)</f>
        <v>1.36</v>
      </c>
    </row>
    <row r="13" spans="1:3" x14ac:dyDescent="0.15">
      <c r="A13" s="10" t="s">
        <v>8963</v>
      </c>
      <c r="B13" s="11">
        <v>5.22</v>
      </c>
      <c r="C13" s="4">
        <f>VLOOKUP(A13,Current!B:H,7,0)</f>
        <v>5.22</v>
      </c>
    </row>
    <row r="14" spans="1:3" x14ac:dyDescent="0.15">
      <c r="A14" s="10" t="s">
        <v>9014</v>
      </c>
      <c r="B14" s="11">
        <v>0.36</v>
      </c>
      <c r="C14" s="4">
        <f>VLOOKUP(A14,Current!B:H,7,0)</f>
        <v>0.36</v>
      </c>
    </row>
    <row r="15" spans="1:3" x14ac:dyDescent="0.15">
      <c r="A15" s="10" t="s">
        <v>8958</v>
      </c>
      <c r="B15" s="11">
        <v>2.75</v>
      </c>
      <c r="C15" s="4">
        <f>VLOOKUP(A15,Current!B:H,7,0)</f>
        <v>2.75</v>
      </c>
    </row>
    <row r="16" spans="1:3" x14ac:dyDescent="0.15">
      <c r="A16" s="10" t="s">
        <v>8964</v>
      </c>
      <c r="B16" s="11">
        <v>3.43</v>
      </c>
      <c r="C16" s="4">
        <f>VLOOKUP(A16,Current!B:H,7,0)</f>
        <v>3.43</v>
      </c>
    </row>
    <row r="17" spans="1:3" x14ac:dyDescent="0.15">
      <c r="A17" s="10" t="s">
        <v>8945</v>
      </c>
      <c r="B17" s="11">
        <v>0.69</v>
      </c>
      <c r="C17" s="4">
        <f>VLOOKUP(A17,Current!B:H,7,0)</f>
        <v>0.69</v>
      </c>
    </row>
    <row r="18" spans="1:3" x14ac:dyDescent="0.15">
      <c r="A18" s="10" t="s">
        <v>9015</v>
      </c>
      <c r="B18" s="11">
        <v>1.42</v>
      </c>
      <c r="C18" s="4">
        <f>VLOOKUP(A18,Current!B:H,7,0)</f>
        <v>1.42</v>
      </c>
    </row>
    <row r="19" spans="1:3" x14ac:dyDescent="0.15">
      <c r="A19" s="10" t="s">
        <v>8965</v>
      </c>
      <c r="B19" s="11">
        <v>0.69</v>
      </c>
      <c r="C19" s="4">
        <f>VLOOKUP(A19,Current!B:H,7,0)</f>
        <v>0.69</v>
      </c>
    </row>
    <row r="20" spans="1:3" x14ac:dyDescent="0.15">
      <c r="A20" s="10" t="s">
        <v>8946</v>
      </c>
      <c r="B20" s="11">
        <v>0.42</v>
      </c>
      <c r="C20" s="4">
        <f>VLOOKUP(A20,Current!B:H,7,0)</f>
        <v>0.42</v>
      </c>
    </row>
    <row r="21" spans="1:3" x14ac:dyDescent="0.15">
      <c r="A21" s="10" t="s">
        <v>8976</v>
      </c>
      <c r="B21" s="11">
        <v>1.42</v>
      </c>
      <c r="C21" s="4">
        <f>VLOOKUP(A21,Current!B:H,7,0)</f>
        <v>1.42</v>
      </c>
    </row>
    <row r="22" spans="1:3" x14ac:dyDescent="0.15">
      <c r="A22" s="10" t="s">
        <v>8966</v>
      </c>
      <c r="B22" s="11">
        <v>0.77</v>
      </c>
      <c r="C22" s="4">
        <f>VLOOKUP(A22,Current!B:H,7,0)</f>
        <v>0.77</v>
      </c>
    </row>
    <row r="23" spans="1:3" x14ac:dyDescent="0.15">
      <c r="A23" s="10" t="s">
        <v>8978</v>
      </c>
      <c r="B23" s="11">
        <v>0.54</v>
      </c>
      <c r="C23" s="4">
        <f>VLOOKUP(A23,Current!B:H,7,0)</f>
        <v>0.54</v>
      </c>
    </row>
    <row r="24" spans="1:3" x14ac:dyDescent="0.15">
      <c r="A24" s="10" t="s">
        <v>8977</v>
      </c>
      <c r="B24" s="11">
        <v>3.16</v>
      </c>
      <c r="C24" s="4">
        <f>VLOOKUP(A24,Current!B:H,7,0)</f>
        <v>3.16</v>
      </c>
    </row>
    <row r="25" spans="1:3" x14ac:dyDescent="0.15">
      <c r="A25" s="10" t="s">
        <v>8967</v>
      </c>
      <c r="B25" s="11">
        <v>1.62</v>
      </c>
      <c r="C25" s="4">
        <f>VLOOKUP(A25,Current!B:H,7,0)</f>
        <v>1.62</v>
      </c>
    </row>
    <row r="26" spans="1:3" x14ac:dyDescent="0.15">
      <c r="A26" s="10" t="s">
        <v>8947</v>
      </c>
      <c r="B26" s="11">
        <v>1.38</v>
      </c>
      <c r="C26" s="4">
        <f>VLOOKUP(A26,Current!B:H,7,0)</f>
        <v>1.38</v>
      </c>
    </row>
    <row r="27" spans="1:3" x14ac:dyDescent="0.15">
      <c r="A27" s="10" t="s">
        <v>8959</v>
      </c>
      <c r="B27" s="11">
        <v>2.0499999999999998</v>
      </c>
      <c r="C27" s="4">
        <f>VLOOKUP(A27,Current!B:H,7,0)</f>
        <v>2.0499999999999998</v>
      </c>
    </row>
    <row r="28" spans="1:3" x14ac:dyDescent="0.15">
      <c r="A28" s="10" t="s">
        <v>8940</v>
      </c>
      <c r="B28" s="11">
        <v>10.72</v>
      </c>
      <c r="C28" s="4">
        <f>VLOOKUP(A28,Current!B:H,7,0)</f>
        <v>10.72</v>
      </c>
    </row>
    <row r="29" spans="1:3" x14ac:dyDescent="0.15">
      <c r="A29" s="10" t="s">
        <v>8948</v>
      </c>
      <c r="B29" s="11">
        <v>1.37</v>
      </c>
      <c r="C29" s="4">
        <f>VLOOKUP(A29,Current!B:H,7,0)</f>
        <v>1.37</v>
      </c>
    </row>
    <row r="30" spans="1:3" x14ac:dyDescent="0.15">
      <c r="A30" s="10" t="s">
        <v>8979</v>
      </c>
      <c r="B30" s="11">
        <v>1.29</v>
      </c>
      <c r="C30" s="4">
        <f>VLOOKUP(A30,Current!B:H,7,0)</f>
        <v>1.29</v>
      </c>
    </row>
    <row r="31" spans="1:3" x14ac:dyDescent="0.15">
      <c r="A31" s="10" t="s">
        <v>8949</v>
      </c>
      <c r="B31" s="11">
        <v>0.98</v>
      </c>
      <c r="C31" s="4">
        <f>VLOOKUP(A31,Current!B:H,7,0)</f>
        <v>0.98</v>
      </c>
    </row>
    <row r="32" spans="1:3" x14ac:dyDescent="0.15">
      <c r="A32" s="10" t="s">
        <v>8961</v>
      </c>
      <c r="B32" s="11">
        <v>1.06</v>
      </c>
      <c r="C32" s="4">
        <f>VLOOKUP(A32,Current!B:H,7,0)</f>
        <v>1.06</v>
      </c>
    </row>
    <row r="33" spans="1:3" x14ac:dyDescent="0.15">
      <c r="A33" s="10" t="s">
        <v>8980</v>
      </c>
      <c r="B33" s="11">
        <v>1.39</v>
      </c>
      <c r="C33" s="4">
        <f>VLOOKUP(A33,Current!B:H,7,0)</f>
        <v>1.39</v>
      </c>
    </row>
    <row r="34" spans="1:3" x14ac:dyDescent="0.15">
      <c r="A34" s="10" t="s">
        <v>8950</v>
      </c>
      <c r="B34" s="11">
        <v>6.14</v>
      </c>
      <c r="C34" s="4">
        <f>VLOOKUP(A34,Current!B:H,7,0)</f>
        <v>6.14</v>
      </c>
    </row>
    <row r="35" spans="1:3" x14ac:dyDescent="0.15">
      <c r="A35" s="10" t="s">
        <v>8981</v>
      </c>
      <c r="B35" s="11">
        <v>0.36</v>
      </c>
      <c r="C35" s="4">
        <f>VLOOKUP(A35,Current!B:H,7,0)</f>
        <v>0.36</v>
      </c>
    </row>
    <row r="36" spans="1:3" x14ac:dyDescent="0.15">
      <c r="A36" s="10" t="s">
        <v>8982</v>
      </c>
      <c r="B36" s="11">
        <v>1.78</v>
      </c>
      <c r="C36" s="4">
        <f>VLOOKUP(A36,Current!B:H,7,0)</f>
        <v>1.78</v>
      </c>
    </row>
    <row r="37" spans="1:3" x14ac:dyDescent="0.15">
      <c r="A37" s="10" t="s">
        <v>8941</v>
      </c>
      <c r="B37" s="11">
        <v>1.04</v>
      </c>
      <c r="C37" s="4">
        <f>VLOOKUP(A37,Current!B:H,7,0)</f>
        <v>1.04</v>
      </c>
    </row>
    <row r="38" spans="1:3" x14ac:dyDescent="0.15">
      <c r="A38" s="10" t="s">
        <v>8983</v>
      </c>
      <c r="B38" s="11">
        <v>0.26</v>
      </c>
      <c r="C38" s="4">
        <f>VLOOKUP(A38,Current!B:H,7,0)</f>
        <v>0.26</v>
      </c>
    </row>
    <row r="39" spans="1:3" x14ac:dyDescent="0.15">
      <c r="A39" s="10" t="s">
        <v>8984</v>
      </c>
      <c r="B39" s="11">
        <v>0.5</v>
      </c>
      <c r="C39" s="4">
        <f>VLOOKUP(A39,Current!B:H,7,0)</f>
        <v>0.5</v>
      </c>
    </row>
    <row r="40" spans="1:3" x14ac:dyDescent="0.15">
      <c r="A40" s="10" t="s">
        <v>8985</v>
      </c>
      <c r="B40" s="11">
        <v>0.39</v>
      </c>
      <c r="C40" s="4">
        <f>VLOOKUP(A40,Current!B:H,7,0)</f>
        <v>0.39</v>
      </c>
    </row>
    <row r="41" spans="1:3" x14ac:dyDescent="0.15">
      <c r="A41" s="10" t="s">
        <v>8968</v>
      </c>
      <c r="B41" s="11">
        <v>4.24</v>
      </c>
      <c r="C41" s="4">
        <f>VLOOKUP(A41,Current!B:H,7,0)</f>
        <v>4.24</v>
      </c>
    </row>
    <row r="42" spans="1:3" x14ac:dyDescent="0.15">
      <c r="A42" s="10" t="s">
        <v>8951</v>
      </c>
      <c r="B42" s="11">
        <v>4.62</v>
      </c>
      <c r="C42" s="4">
        <f>VLOOKUP(A42,Current!B:H,7,0)</f>
        <v>4.62</v>
      </c>
    </row>
    <row r="43" spans="1:3" x14ac:dyDescent="0.15">
      <c r="A43" s="10" t="s">
        <v>8986</v>
      </c>
      <c r="B43" s="11">
        <v>1.61</v>
      </c>
      <c r="C43" s="4">
        <f>VLOOKUP(A43,Current!B:H,7,0)</f>
        <v>1.61</v>
      </c>
    </row>
    <row r="44" spans="1:3" x14ac:dyDescent="0.15">
      <c r="A44" s="10" t="s">
        <v>8970</v>
      </c>
      <c r="B44" s="11">
        <v>0.77</v>
      </c>
      <c r="C44" s="4">
        <f>VLOOKUP(A44,Current!B:H,7,0)</f>
        <v>0.77</v>
      </c>
    </row>
    <row r="45" spans="1:3" x14ac:dyDescent="0.15">
      <c r="A45" s="10" t="s">
        <v>8987</v>
      </c>
      <c r="B45" s="11">
        <v>0.75</v>
      </c>
      <c r="C45" s="4">
        <f>VLOOKUP(A45,Current!B:H,7,0)</f>
        <v>0.75</v>
      </c>
    </row>
    <row r="46" spans="1:3" x14ac:dyDescent="0.15">
      <c r="A46" s="10" t="s">
        <v>8988</v>
      </c>
      <c r="B46" s="11">
        <v>2.2200000000000002</v>
      </c>
      <c r="C46" s="4">
        <f>VLOOKUP(A46,Current!B:H,7,0)</f>
        <v>2.2200000000000002</v>
      </c>
    </row>
    <row r="47" spans="1:3" x14ac:dyDescent="0.15">
      <c r="A47" s="10" t="s">
        <v>8990</v>
      </c>
      <c r="B47" s="11">
        <v>2.27</v>
      </c>
      <c r="C47" s="4">
        <f>VLOOKUP(A47,Current!B:H,7,0)</f>
        <v>2.27</v>
      </c>
    </row>
    <row r="48" spans="1:3" x14ac:dyDescent="0.15">
      <c r="A48" s="10" t="s">
        <v>8952</v>
      </c>
      <c r="B48" s="11">
        <v>1.99</v>
      </c>
      <c r="C48" s="4">
        <f>VLOOKUP(A48,Current!B:H,7,0)</f>
        <v>1.99</v>
      </c>
    </row>
    <row r="49" spans="1:3" x14ac:dyDescent="0.15">
      <c r="A49" s="10" t="s">
        <v>8989</v>
      </c>
      <c r="B49" s="11">
        <v>1.75</v>
      </c>
      <c r="C49" s="4">
        <f>VLOOKUP(A49,Current!B:H,7,0)</f>
        <v>1.75</v>
      </c>
    </row>
    <row r="50" spans="1:3" x14ac:dyDescent="0.15">
      <c r="A50" s="10" t="s">
        <v>8953</v>
      </c>
      <c r="B50" s="11">
        <v>1.41</v>
      </c>
      <c r="C50" s="4">
        <f>VLOOKUP(A50,Current!B:H,7,0)</f>
        <v>1.41</v>
      </c>
    </row>
    <row r="51" spans="1:3" x14ac:dyDescent="0.15">
      <c r="A51" s="10" t="s">
        <v>8991</v>
      </c>
      <c r="B51" s="11">
        <v>1.1299999999999999</v>
      </c>
      <c r="C51" s="4">
        <f>VLOOKUP(A51,Current!B:H,7,0)</f>
        <v>1.1299999999999999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ht="14.1" x14ac:dyDescent="0.2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ht="14.1" x14ac:dyDescent="0.2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ht="14.1" x14ac:dyDescent="0.2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ht="14.1" x14ac:dyDescent="0.2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ht="14.1" x14ac:dyDescent="0.2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ht="14.1" x14ac:dyDescent="0.2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ht="14.1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ht="14.1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ht="14.1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ht="14.1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ht="14.1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ht="14.1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ht="14.1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ht="14.1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ht="14.1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ht="14.1" x14ac:dyDescent="0.2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2017-06-22T23:22:48Z</dcterms:modified>
</cp:coreProperties>
</file>