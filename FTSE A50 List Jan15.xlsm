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<sst xmlns="http://schemas.openxmlformats.org/spreadsheetml/2006/main" count="124592" uniqueCount="11007">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</sst>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A19" zoomScale="115" zoomScaleNormal="115" workbookViewId="0">
      <selection activeCell="I16" sqref="I16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99.97999999999999</v>
      </c>
      <c r="I1">
        <f>+SUM(I3:I52)</f>
        <v>100.00999999999999</v>
      </c>
      <c r="Q1"/>
      <c r="W1" s="4" t="s">
        <v>9011</v>
      </c>
      <c r="X1">
        <f>SUM(W3:W52)</f>
        <v>3.0000000000001137E-2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100.00999999999999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2.81</v>
      </c>
      <c r="I3" s="5">
        <f>IF(ISNA(VLOOKUP(B3,Sheet1!A:B,2,0)),0,VLOOKUP(B3,Sheet1!A:B,2,0))</f>
        <v>2.86</v>
      </c>
      <c r="J3">
        <f t="shared" ref="J3:J25" si="1">+I3-H3</f>
        <v>4.9999999999999822E-2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-4.4960000000000007E-2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4.9999999999999822E-2</v>
      </c>
      <c r="Z3" s="6" t="str">
        <f>+G3</f>
        <v>sh601288</v>
      </c>
      <c r="AA3" s="5">
        <f>I3</f>
        <v>2.86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2.33</v>
      </c>
      <c r="I4" s="5">
        <f>IF(ISNA(VLOOKUP(B4,Sheet1!A:B,2,0)),0,VLOOKUP(B4,Sheet1!A:B,2,0))</f>
        <v>2.31</v>
      </c>
      <c r="J4">
        <f t="shared" si="1"/>
        <v>-2.0000000000000018E-2</v>
      </c>
      <c r="N4" s="3"/>
      <c r="Q4"/>
      <c r="R4" s="1"/>
      <c r="S4" s="1"/>
      <c r="T4" s="1"/>
      <c r="U4" s="1"/>
      <c r="V4" s="1"/>
      <c r="W4" s="1">
        <f t="shared" ref="W4:W40" si="3">I4-H4</f>
        <v>-2.0000000000000018E-2</v>
      </c>
      <c r="Z4" s="6" t="str">
        <f t="shared" ref="Z4:Z52" si="4">+G4</f>
        <v>sh601169</v>
      </c>
      <c r="AA4" s="5">
        <f t="shared" ref="AA4:AA26" si="5">I4</f>
        <v>2.31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1.77</v>
      </c>
      <c r="I5" s="5">
        <f>IF(ISNA(VLOOKUP(B5,Sheet1!A:B,2,0)),0,VLOOKUP(B5,Sheet1!A:B,2,0))</f>
        <v>1.79</v>
      </c>
      <c r="J5">
        <f t="shared" si="1"/>
        <v>2.0000000000000018E-2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-5.4162000000000002E-2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2.0000000000000018E-2</v>
      </c>
      <c r="Z5" s="6" t="str">
        <f t="shared" si="4"/>
        <v>sh601988</v>
      </c>
      <c r="AA5" s="5">
        <f t="shared" si="5"/>
        <v>1.79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2.86</v>
      </c>
      <c r="I6" s="5">
        <f>IF(ISNA(VLOOKUP(B6,Sheet1!A:B,2,0)),0,VLOOKUP(B6,Sheet1!A:B,2,0))</f>
        <v>2.85</v>
      </c>
      <c r="J6">
        <f t="shared" si="1"/>
        <v>-9.9999999999997868E-3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-9.9242000000000011E-2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-9.9999999999997868E-3</v>
      </c>
      <c r="Z6" s="6" t="str">
        <f t="shared" si="4"/>
        <v>sh601328</v>
      </c>
      <c r="AA6" s="5">
        <f t="shared" si="5"/>
        <v>2.85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0.36</v>
      </c>
      <c r="I7" s="5">
        <f>IF(ISNA(VLOOKUP(B7,Sheet1!A:B,2,0)),0,VLOOKUP(B7,Sheet1!A:B,2,0))</f>
        <v>0.35</v>
      </c>
      <c r="J7">
        <f>+I7-H7</f>
        <v>-1.0000000000000009E-2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-1.0000000000000009E-2</v>
      </c>
      <c r="Z7" s="6" t="str">
        <f>+G7</f>
        <v>sh601229</v>
      </c>
      <c r="AA7" s="5">
        <f>I7</f>
        <v>0.35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0.88</v>
      </c>
      <c r="I8" s="5">
        <f>IF(ISNA(VLOOKUP(B8,Sheet1!A:B,2,0)),0,VLOOKUP(B8,Sheet1!A:B,2,0))</f>
        <v>0.88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0.88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1.86</v>
      </c>
      <c r="I9" s="5">
        <f>IF(ISNA(VLOOKUP(B9,Sheet1!A:B,2,0)),0,VLOOKUP(B9,Sheet1!A:B,2,0))</f>
        <v>1.85</v>
      </c>
      <c r="N9" s="3"/>
      <c r="Q9"/>
      <c r="R9" s="1"/>
      <c r="S9" s="1"/>
      <c r="T9" s="1"/>
      <c r="U9" s="1"/>
      <c r="V9" s="1"/>
      <c r="W9" s="1">
        <f t="shared" si="3"/>
        <v>-1.0000000000000009E-2</v>
      </c>
      <c r="Z9" s="6" t="str">
        <f t="shared" si="11"/>
        <v>sz000725</v>
      </c>
      <c r="AA9" s="5">
        <f t="shared" si="12"/>
        <v>1.85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0.62</v>
      </c>
      <c r="J10">
        <f t="shared" si="1"/>
        <v>2.0000000000000018E-2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2.0000000000000018E-2</v>
      </c>
      <c r="Z10" s="6" t="str">
        <f t="shared" si="4"/>
        <v>sz002594</v>
      </c>
      <c r="AA10" s="5">
        <f t="shared" si="5"/>
        <v>0.62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0.43</v>
      </c>
      <c r="I11" s="5">
        <f>IF(ISNA(VLOOKUP(B11,Sheet1!A:B,2,0)),0,VLOOKUP(B11,Sheet1!A:B,2,0))</f>
        <v>0.43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-1.9737000000000001E-2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0.43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0.55000000000000004</v>
      </c>
      <c r="I12" s="5">
        <f>IF(ISNA(VLOOKUP(B12,Sheet1!A:B,2,0)),0,VLOOKUP(B12,Sheet1!A:B,2,0))</f>
        <v>0.55000000000000004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-2.8435000000000002E-2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0.55000000000000004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</v>
      </c>
      <c r="I13" s="5">
        <f>IF(ISNA(VLOOKUP(B13,Sheet1!A:B,2,0)),0,VLOOKUP(B13,Sheet1!A:B,2,0))</f>
        <v>1.31</v>
      </c>
      <c r="J13">
        <f t="shared" si="1"/>
        <v>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-2.9899999999999996E-2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1.0000000000000009E-2</v>
      </c>
      <c r="Z13" s="6" t="str">
        <f t="shared" si="4"/>
        <v>sh601939</v>
      </c>
      <c r="AA13" s="5">
        <f t="shared" si="5"/>
        <v>1.31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1.34</v>
      </c>
      <c r="I14" s="5">
        <f>IF(ISNA(VLOOKUP(B14,Sheet1!A:B,2,0)),0,VLOOKUP(B14,Sheet1!A:B,2,0))</f>
        <v>1.33</v>
      </c>
      <c r="J14">
        <f t="shared" si="1"/>
        <v>-1.0000000000000009E-2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-4.5426000000000001E-2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-1.0000000000000009E-2</v>
      </c>
      <c r="Z14" s="6" t="str">
        <f t="shared" si="4"/>
        <v>sh601818</v>
      </c>
      <c r="AA14" s="5">
        <f t="shared" si="5"/>
        <v>1.33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0.96</v>
      </c>
      <c r="I15" s="5">
        <f>IF(ISNA(VLOOKUP(B15,Sheet1!A:B,2,0)),0,VLOOKUP(B15,Sheet1!A:B,2,0))</f>
        <v>0.94</v>
      </c>
      <c r="J15">
        <f t="shared" si="1"/>
        <v>-2.0000000000000018E-2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-1.8239999999999999E-2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-2.0000000000000018E-2</v>
      </c>
      <c r="Z15" s="6" t="str">
        <f t="shared" si="4"/>
        <v>sh601628</v>
      </c>
      <c r="AA15" s="5">
        <f t="shared" si="5"/>
        <v>0.94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6.63</v>
      </c>
      <c r="I16" s="5">
        <f>IF(ISNA(VLOOKUP(B16,Sheet1!A:B,2,0)),0,VLOOKUP(B16,Sheet1!A:B,2,0))</f>
        <v>6.54</v>
      </c>
      <c r="J16">
        <f t="shared" si="1"/>
        <v>-8.9999999999999858E-2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-0.17105399999999998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-8.9999999999999858E-2</v>
      </c>
      <c r="Z16" s="6" t="str">
        <f t="shared" si="4"/>
        <v>sh600036</v>
      </c>
      <c r="AA16" s="5">
        <f t="shared" si="5"/>
        <v>6.54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0.93</v>
      </c>
      <c r="I17" s="5">
        <f>IF(ISNA(VLOOKUP(B17,Sheet1!A:B,2,0)),0,VLOOKUP(B17,Sheet1!A:B,2,0))</f>
        <v>0.93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0.93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4.46</v>
      </c>
      <c r="I18" s="5">
        <f>IF(ISNA(VLOOKUP(B18,Sheet1!A:B,2,0)),0,VLOOKUP(B18,Sheet1!A:B,2,0))</f>
        <v>4.42</v>
      </c>
      <c r="J18">
        <f t="shared" si="1"/>
        <v>-4.0000000000000036E-2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-1.0704E-2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-4.0000000000000036E-2</v>
      </c>
      <c r="Z18" s="6" t="str">
        <f t="shared" si="4"/>
        <v>sh600016</v>
      </c>
      <c r="AA18" s="5">
        <f t="shared" si="5"/>
        <v>4.42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0.7</v>
      </c>
      <c r="I19" s="5">
        <f>IF(ISNA(VLOOKUP(B19,Sheet1!A:B,2,0)),0,VLOOKUP(B19,Sheet1!A:B,2,0))</f>
        <v>0.7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-2.2399999999999996E-2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0.7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</v>
      </c>
      <c r="I20" s="5">
        <f>IF(ISNA(VLOOKUP(B20,Sheet1!A:B,2,0)),0,VLOOKUP(B20,Sheet1!A:B,2,0))</f>
        <v>1.97</v>
      </c>
      <c r="J20">
        <f t="shared" si="1"/>
        <v>-3.0000000000000027E-2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-3.4599999999999999E-2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-3.0000000000000027E-2</v>
      </c>
      <c r="Z20" s="6" t="str">
        <f t="shared" si="4"/>
        <v>sh601601</v>
      </c>
      <c r="AA20" s="5">
        <f t="shared" si="5"/>
        <v>1.97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</v>
      </c>
      <c r="I21" s="5">
        <f>IF(ISNA(VLOOKUP(B21,Sheet1!A:B,2,0)),0,VLOOKUP(B21,Sheet1!A:B,2,0))</f>
        <v>1.33</v>
      </c>
      <c r="J21">
        <f t="shared" si="1"/>
        <v>3.0000000000000027E-2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-5.0439999999999999E-2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3.0000000000000027E-2</v>
      </c>
      <c r="Z21" s="6" t="str">
        <f t="shared" si="4"/>
        <v>sh600028</v>
      </c>
      <c r="AA21" s="5">
        <f t="shared" si="5"/>
        <v>1.33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1.1299999999999999</v>
      </c>
      <c r="I22" s="5">
        <f>IF(ISNA(VLOOKUP(B22,Sheet1!A:B,2,0)),0,VLOOKUP(B22,Sheet1!A:B,2,0))</f>
        <v>1.1399999999999999</v>
      </c>
      <c r="J22">
        <f t="shared" si="1"/>
        <v>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-6.5087999999999993E-2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1.0000000000000009E-2</v>
      </c>
      <c r="Z22" s="6" t="str">
        <f t="shared" si="4"/>
        <v>sh601186</v>
      </c>
      <c r="AA22" s="5">
        <f t="shared" si="5"/>
        <v>1.1399999999999999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1.03</v>
      </c>
      <c r="I23" s="5">
        <f>IF(ISNA(VLOOKUP(B23,Sheet1!A:B,2,0)),0,VLOOKUP(B23,Sheet1!A:B,2,0))</f>
        <v>1.04</v>
      </c>
      <c r="J23">
        <f t="shared" si="1"/>
        <v>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-6.4477999999999994E-2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1.0000000000000009E-2</v>
      </c>
      <c r="Z23" s="6" t="str">
        <f t="shared" si="4"/>
        <v>sh601390</v>
      </c>
      <c r="AA23" s="5">
        <f t="shared" si="5"/>
        <v>1.04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0.85</v>
      </c>
      <c r="I24" s="5">
        <f>IF(ISNA(VLOOKUP(B24,Sheet1!A:B,2,0)),0,VLOOKUP(B24,Sheet1!A:B,2,0))</f>
        <v>0.86</v>
      </c>
      <c r="J24">
        <f t="shared" si="1"/>
        <v>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-3.2215000000000001E-2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1.0000000000000009E-2</v>
      </c>
      <c r="Z24" s="6" t="str">
        <f t="shared" si="4"/>
        <v>sh601088</v>
      </c>
      <c r="AA24" s="5">
        <f t="shared" si="5"/>
        <v>0.86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1.22</v>
      </c>
      <c r="I25" s="5">
        <f>IF(ISNA(VLOOKUP(B25,Sheet1!A:B,2,0)),0,VLOOKUP(B25,Sheet1!A:B,2,0))</f>
        <v>1.23</v>
      </c>
      <c r="J25">
        <f t="shared" si="1"/>
        <v>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1.0000000000000009E-2</v>
      </c>
      <c r="Z25" s="6" t="str">
        <f t="shared" si="4"/>
        <v>sh601989</v>
      </c>
      <c r="AA25" s="5">
        <f t="shared" si="5"/>
        <v>1.23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2.79</v>
      </c>
      <c r="I26" s="5">
        <f>IF(ISNA(VLOOKUP(B26,Sheet1!A:B,2,0)),0,VLOOKUP(B26,Sheet1!A:B,2,0))</f>
        <v>2.89</v>
      </c>
      <c r="J26">
        <f t="shared" ref="J26:J52" si="16">+I26-H26</f>
        <v>0.10000000000000009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-0.13336200000000001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0.10000000000000009</v>
      </c>
      <c r="Z26" s="6" t="str">
        <f t="shared" si="4"/>
        <v>sh601668</v>
      </c>
      <c r="AA26" s="5">
        <f t="shared" si="5"/>
        <v>2.89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1.27</v>
      </c>
      <c r="I27" s="5">
        <f>IF(ISNA(VLOOKUP(B27,Sheet1!A:B,2,0)),0,VLOOKUP(B27,Sheet1!A:B,2,0))</f>
        <v>1.28</v>
      </c>
      <c r="J27">
        <f>+I27-H27</f>
        <v>1.0000000000000009E-2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-7.3533000000000001E-2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1.0000000000000009E-2</v>
      </c>
      <c r="Z27" s="6" t="str">
        <f>+G27</f>
        <v>sh600050</v>
      </c>
      <c r="AA27" s="5">
        <f>I27</f>
        <v>1.28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1.32</v>
      </c>
      <c r="I28" s="5">
        <f>IF(ISNA(VLOOKUP(B28,Sheet1!A:B,2,0)),0,VLOOKUP(B28,Sheet1!A:B,2,0))</f>
        <v>1.34</v>
      </c>
      <c r="J28">
        <f t="shared" si="16"/>
        <v>2.0000000000000018E-2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-2.2572000000000002E-2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2.0000000000000018E-2</v>
      </c>
      <c r="Z28" s="6" t="str">
        <f t="shared" si="4"/>
        <v>sh600900</v>
      </c>
      <c r="AA28" s="5">
        <f t="shared" ref="AA28:AA52" si="19">I28</f>
        <v>1.34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3.09</v>
      </c>
      <c r="I29" s="5">
        <f>IF(ISNA(VLOOKUP(B29,Sheet1!A:B,2,0)),0,VLOOKUP(B29,Sheet1!A:B,2,0))</f>
        <v>3.06</v>
      </c>
      <c r="J29">
        <f t="shared" si="16"/>
        <v>-2.9999999999999805E-2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-2.9999999999999805E-2</v>
      </c>
      <c r="Z29" s="6" t="str">
        <f t="shared" si="4"/>
        <v>sh600030</v>
      </c>
      <c r="AA29" s="5">
        <f t="shared" si="19"/>
        <v>3.06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1.89</v>
      </c>
      <c r="I30" s="5">
        <f>IF(ISNA(VLOOKUP(B30,Sheet1!A:B,2,0)),0,VLOOKUP(B30,Sheet1!A:B,2,0))</f>
        <v>1.9</v>
      </c>
      <c r="J30">
        <f t="shared" si="16"/>
        <v>1.0000000000000009E-2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-8.145899999999999E-2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1.0000000000000009E-2</v>
      </c>
      <c r="Z30" s="6" t="str">
        <f t="shared" si="4"/>
        <v>sh601766</v>
      </c>
      <c r="AA30" s="5">
        <f t="shared" si="19"/>
        <v>1.9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1.1000000000000001</v>
      </c>
      <c r="I31" s="5">
        <f>IF(ISNA(VLOOKUP(B31,Sheet1!A:B,2,0)),0,VLOOKUP(B31,Sheet1!A:B,2,0))</f>
        <v>1.1000000000000001</v>
      </c>
      <c r="J31">
        <f t="shared" si="16"/>
        <v>0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sz002027</v>
      </c>
      <c r="AA31" s="5">
        <f t="shared" si="19"/>
        <v>1.1000000000000001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1.01</v>
      </c>
      <c r="I32" s="5">
        <f>IF(ISNA(VLOOKUP(B32,Sheet1!A:B,2,0)),0,VLOOKUP(B32,Sheet1!A:B,2,0))</f>
        <v>1.01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1.01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0.31</v>
      </c>
      <c r="J33">
        <f t="shared" si="16"/>
        <v>1.0000000000000009E-2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1.0000000000000009E-2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1.58</v>
      </c>
      <c r="I34" s="5">
        <f>IF(ISNA(VLOOKUP(B34,Sheet1!A:B,2,0)),0,VLOOKUP(B34,Sheet1!A:B,2,0))</f>
        <v>1.58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-6.6675999999999999E-2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1.58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2.06</v>
      </c>
      <c r="I35" s="5">
        <f>IF(ISNA(VLOOKUP(B35,Sheet1!A:B,2,0)),0,VLOOKUP(B35,Sheet1!A:B,2,0))</f>
        <v>2.04</v>
      </c>
      <c r="J35">
        <f t="shared" si="16"/>
        <v>-2.0000000000000018E-2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-2.0000000000000018E-2</v>
      </c>
      <c r="Z35" s="6" t="str">
        <f t="shared" si="4"/>
        <v>sh600837</v>
      </c>
      <c r="AA35" s="5">
        <f t="shared" si="19"/>
        <v>2.04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1.86</v>
      </c>
      <c r="I36" s="5">
        <f>IF(ISNA(VLOOKUP(B36,Sheet1!A:B,2,0)),0,VLOOKUP(B36,Sheet1!A:B,2,0))</f>
        <v>1.91</v>
      </c>
      <c r="J36">
        <f t="shared" si="16"/>
        <v>4.9999999999999822E-2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-6.7704E-2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4.9999999999999822E-2</v>
      </c>
      <c r="Z36" s="6" t="str">
        <f t="shared" si="4"/>
        <v>sz002415</v>
      </c>
      <c r="AA36" s="5">
        <f t="shared" si="19"/>
        <v>1.91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1.1599999999999999</v>
      </c>
      <c r="I37" s="5">
        <f>IF(ISNA(VLOOKUP(B37,Sheet1!A:B,2,0)),0,VLOOKUP(B37,Sheet1!A:B,2,0))</f>
        <v>1.1499999999999999</v>
      </c>
      <c r="J37">
        <f t="shared" si="16"/>
        <v>-1.0000000000000009E-2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-4.2571999999999992E-2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-1.0000000000000009E-2</v>
      </c>
      <c r="Z37" s="6" t="str">
        <f t="shared" si="4"/>
        <v>sh601688</v>
      </c>
      <c r="AA37" s="5">
        <f t="shared" si="19"/>
        <v>1.1499999999999999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2.54</v>
      </c>
      <c r="I38" s="5">
        <f>IF(ISNA(VLOOKUP(B38,Sheet1!A:B,2,0)),0,VLOOKUP(B38,Sheet1!A:B,2,0))</f>
        <v>2.58</v>
      </c>
      <c r="J38">
        <f t="shared" si="16"/>
        <v>4.0000000000000036E-2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-4.7244000000000001E-2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4.0000000000000036E-2</v>
      </c>
      <c r="Z38" s="6" t="str">
        <f t="shared" si="4"/>
        <v>sh601398</v>
      </c>
      <c r="AA38" s="5">
        <f t="shared" si="19"/>
        <v>2.58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5.6</v>
      </c>
      <c r="I39" s="5">
        <f>IF(ISNA(VLOOKUP(B39,Sheet1!A:B,2,0)),0,VLOOKUP(B39,Sheet1!A:B,2,0))</f>
        <v>5.55</v>
      </c>
      <c r="J39">
        <f t="shared" si="16"/>
        <v>-4.9999999999999822E-2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-4.9999999999999822E-2</v>
      </c>
      <c r="Z39" s="6" t="str">
        <f t="shared" si="4"/>
        <v>sh601166</v>
      </c>
      <c r="AA39" s="5">
        <f t="shared" si="19"/>
        <v>5.55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1.36</v>
      </c>
      <c r="I40" s="5">
        <f>IF(ISNA(VLOOKUP(B40,Sheet1!A:B,2,0)),0,VLOOKUP(B40,Sheet1!A:B,2,0))</f>
        <v>1.35</v>
      </c>
      <c r="N40" s="3"/>
      <c r="Q40"/>
      <c r="R40" s="1"/>
      <c r="S40" s="1"/>
      <c r="T40" s="1"/>
      <c r="U40" s="1"/>
      <c r="V40" s="1"/>
      <c r="W40" s="1">
        <f t="shared" si="3"/>
        <v>-1.0000000000000009E-2</v>
      </c>
      <c r="Z40" s="6" t="str">
        <f t="shared" ref="Z40" si="21">+G40</f>
        <v>sh600276</v>
      </c>
      <c r="AA40" s="5">
        <f t="shared" ref="AA40" si="22">I40</f>
        <v>1.35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0.83</v>
      </c>
      <c r="I41" s="5">
        <f>IF(ISNA(VLOOKUP(B41,Sheet1!A:B,2,0)),0,VLOOKUP(B41,Sheet1!A:B,2,0))</f>
        <v>0.86</v>
      </c>
      <c r="J41">
        <f t="shared" si="16"/>
        <v>3.0000000000000027E-2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-1.7429999999999998E-2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3.0000000000000027E-2</v>
      </c>
      <c r="Z41" s="6" t="str">
        <f t="shared" si="4"/>
        <v>sz002304</v>
      </c>
      <c r="AA41" s="5">
        <f t="shared" si="19"/>
        <v>0.86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4.51</v>
      </c>
      <c r="I42" s="5">
        <f>IF(ISNA(VLOOKUP(B42,Sheet1!A:B,2,0)),0,VLOOKUP(B42,Sheet1!A:B,2,0))</f>
        <v>4.7</v>
      </c>
      <c r="J42">
        <f t="shared" si="16"/>
        <v>0.19000000000000039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-0.12808399999999998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0.19000000000000039</v>
      </c>
      <c r="Z42" s="6" t="str">
        <f t="shared" si="4"/>
        <v>sh600519</v>
      </c>
      <c r="AA42" s="5">
        <f t="shared" si="19"/>
        <v>4.7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3.25</v>
      </c>
      <c r="I43" s="5">
        <f>IF(ISNA(VLOOKUP(B43,Sheet1!A:B,2,0)),0,VLOOKUP(B43,Sheet1!A:B,2,0))</f>
        <v>3.33</v>
      </c>
      <c r="J43">
        <f t="shared" si="16"/>
        <v>8.0000000000000071E-2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-0.13292500000000002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8.0000000000000071E-2</v>
      </c>
      <c r="Z43" s="6" t="str">
        <f t="shared" si="4"/>
        <v>sz000333</v>
      </c>
      <c r="AA43" s="5">
        <f t="shared" si="19"/>
        <v>3.33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0.77</v>
      </c>
      <c r="I44" s="5">
        <f>IF(ISNA(VLOOKUP(B44,Sheet1!A:B,2,0)),0,VLOOKUP(B44,Sheet1!A:B,2,0))</f>
        <v>0.75</v>
      </c>
      <c r="J44">
        <f t="shared" si="16"/>
        <v>-2.0000000000000018E-2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-2.0000000000000018E-2</v>
      </c>
      <c r="Z44" s="6" t="str">
        <f t="shared" si="4"/>
        <v>sh601336</v>
      </c>
      <c r="AA44" s="5">
        <f t="shared" si="19"/>
        <v>0.75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0.73</v>
      </c>
      <c r="I45" s="5">
        <f>IF(ISNA(VLOOKUP(B45,Sheet1!A:B,2,0)),0,VLOOKUP(B45,Sheet1!A:B,2,0))</f>
        <v>0.73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-2.7740000000000001E-2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0.73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1.79</v>
      </c>
      <c r="I46" s="5">
        <f>IF(ISNA(VLOOKUP(B46,Sheet1!A:B,2,0)),0,VLOOKUP(B46,Sheet1!A:B,2,0))</f>
        <v>1.77</v>
      </c>
      <c r="J46">
        <f t="shared" si="16"/>
        <v>-2.0000000000000018E-2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-5.1552000000000001E-2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-2.0000000000000018E-2</v>
      </c>
      <c r="Z46" s="6" t="str">
        <f t="shared" si="4"/>
        <v>sz000001</v>
      </c>
      <c r="AA46" s="5">
        <f t="shared" si="19"/>
        <v>1.77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11.08</v>
      </c>
      <c r="I47" s="5">
        <f>IF(ISNA(VLOOKUP(B47,Sheet1!A:B,2,0)),0,VLOOKUP(B47,Sheet1!A:B,2,0))</f>
        <v>10.76</v>
      </c>
      <c r="J47">
        <f t="shared" si="16"/>
        <v>-0.32000000000000028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-0.32000000000000028</v>
      </c>
      <c r="Z47" s="6" t="str">
        <f t="shared" si="4"/>
        <v>sh601318</v>
      </c>
      <c r="AA47" s="5">
        <f t="shared" si="19"/>
        <v>10.76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1.42</v>
      </c>
      <c r="I48" s="5">
        <f>IF(ISNA(VLOOKUP(B48,Sheet1!A:B,2,0)),0,VLOOKUP(B48,Sheet1!A:B,2,0))</f>
        <v>1.44</v>
      </c>
      <c r="J48">
        <f t="shared" si="16"/>
        <v>2.0000000000000018E-2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-8.5483999999999991E-2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2.0000000000000018E-2</v>
      </c>
      <c r="Z48" s="6" t="str">
        <f t="shared" si="4"/>
        <v>sh600048</v>
      </c>
      <c r="AA48" s="5">
        <f t="shared" si="19"/>
        <v>1.44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1.65</v>
      </c>
      <c r="I49" s="5">
        <f>IF(ISNA(VLOOKUP(B49,Sheet1!A:B,2,0)),0,VLOOKUP(B49,Sheet1!A:B,2,0))</f>
        <v>1.66</v>
      </c>
      <c r="J49">
        <f t="shared" si="16"/>
        <v>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-1.1715E-2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1.0000000000000009E-2</v>
      </c>
      <c r="Z49" s="6" t="str">
        <f t="shared" si="4"/>
        <v>sh600104</v>
      </c>
      <c r="AA49" s="5">
        <f t="shared" si="19"/>
        <v>1.66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0.44</v>
      </c>
      <c r="I50" s="5">
        <f>IF(ISNA(VLOOKUP(B50,Sheet1!A:B,2,0)),0,VLOOKUP(B50,Sheet1!A:B,2,0))</f>
        <v>0.45</v>
      </c>
      <c r="J50">
        <f t="shared" si="16"/>
        <v>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-2.5872000000000003E-2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1.0000000000000009E-2</v>
      </c>
      <c r="Z50" s="6" t="str">
        <f t="shared" si="4"/>
        <v>sh600018</v>
      </c>
      <c r="AA50" s="5">
        <f t="shared" si="19"/>
        <v>0.45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4.21</v>
      </c>
      <c r="I51" s="5">
        <f>IF(ISNA(VLOOKUP(B51,Sheet1!A:B,2,0)),0,VLOOKUP(B51,Sheet1!A:B,2,0))</f>
        <v>4.16</v>
      </c>
      <c r="J51">
        <f t="shared" si="16"/>
        <v>-4.9999999999999822E-2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-7.9989999999999992E-2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-4.9999999999999822E-2</v>
      </c>
      <c r="Z51" s="6" t="str">
        <f t="shared" si="4"/>
        <v>sh600000</v>
      </c>
      <c r="AA51" s="5">
        <f t="shared" si="19"/>
        <v>4.16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2.0699999999999998</v>
      </c>
      <c r="I52" s="5">
        <f>IF(ISNA(VLOOKUP(B52,Sheet1!A:B,2,0)),0,VLOOKUP(B52,Sheet1!A:B,2,0))</f>
        <v>2.12</v>
      </c>
      <c r="J52">
        <f t="shared" si="16"/>
        <v>5.0000000000000266E-2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-5.9615999999999988E-2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5.0000000000000266E-2</v>
      </c>
      <c r="Z52" s="6" t="str">
        <f t="shared" si="4"/>
        <v>sz000858</v>
      </c>
      <c r="AA52" s="5">
        <f t="shared" si="19"/>
        <v>2.12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2.86</v>
      </c>
      <c r="C2" s="4">
        <f>VLOOKUP(A2,Current!B:I,7,0)</f>
        <v>2.81</v>
      </c>
    </row>
    <row r="3" spans="1:3" x14ac:dyDescent="0.15">
      <c r="A3" s="10" t="s">
        <v>8952</v>
      </c>
      <c r="B3" s="11">
        <v>1.97</v>
      </c>
      <c r="C3" s="4">
        <f>VLOOKUP(A3,Current!B:I,7,0)</f>
        <v>2</v>
      </c>
    </row>
    <row r="4" spans="1:3" x14ac:dyDescent="0.15">
      <c r="A4" s="10" t="s">
        <v>8992</v>
      </c>
      <c r="B4" s="11">
        <v>2.58</v>
      </c>
      <c r="C4" s="4">
        <f>VLOOKUP(A4,Current!B:I,7,0)</f>
        <v>2.54</v>
      </c>
    </row>
    <row r="5" spans="1:3" x14ac:dyDescent="0.15">
      <c r="A5" s="10" t="s">
        <v>8973</v>
      </c>
      <c r="B5" s="11">
        <v>2.31</v>
      </c>
      <c r="C5" s="4">
        <f>VLOOKUP(A5,Current!B:I,7,0)</f>
        <v>2.33</v>
      </c>
    </row>
    <row r="6" spans="1:3" x14ac:dyDescent="0.15">
      <c r="A6" s="10" t="s">
        <v>8953</v>
      </c>
      <c r="B6" s="11">
        <v>1.33</v>
      </c>
      <c r="C6" s="4">
        <f>VLOOKUP(A6,Current!B:I,7,0)</f>
        <v>1.3</v>
      </c>
    </row>
    <row r="7" spans="1:3" x14ac:dyDescent="0.15">
      <c r="A7" s="10" t="s">
        <v>8962</v>
      </c>
      <c r="B7" s="11">
        <v>5.55</v>
      </c>
      <c r="C7" s="4">
        <f>VLOOKUP(A7,Current!B:I,7,0)</f>
        <v>5.6</v>
      </c>
    </row>
    <row r="8" spans="1:3" x14ac:dyDescent="0.15">
      <c r="A8" s="10" t="s">
        <v>8944</v>
      </c>
      <c r="B8" s="11">
        <v>1.79</v>
      </c>
      <c r="C8" s="4">
        <f>VLOOKUP(A8,Current!B:I,7,0)</f>
        <v>1.77</v>
      </c>
    </row>
    <row r="9" spans="1:3" x14ac:dyDescent="0.15">
      <c r="A9" s="10" t="s">
        <v>8954</v>
      </c>
      <c r="B9" s="11">
        <v>1.1399999999999999</v>
      </c>
      <c r="C9" s="4">
        <f>VLOOKUP(A9,Current!B:I,7,0)</f>
        <v>1.1299999999999999</v>
      </c>
    </row>
    <row r="10" spans="1:3" x14ac:dyDescent="0.15">
      <c r="A10" s="10" t="s">
        <v>9020</v>
      </c>
      <c r="B10" s="11">
        <v>1.35</v>
      </c>
      <c r="C10" s="4">
        <f>VLOOKUP(A10,Current!B:I,7,0)</f>
        <v>1.36</v>
      </c>
    </row>
    <row r="11" spans="1:3" x14ac:dyDescent="0.15">
      <c r="A11" s="10" t="s">
        <v>8975</v>
      </c>
      <c r="B11" s="11">
        <v>2.85</v>
      </c>
      <c r="C11" s="4">
        <f>VLOOKUP(A11,Current!B:I,7,0)</f>
        <v>2.86</v>
      </c>
    </row>
    <row r="12" spans="1:3" x14ac:dyDescent="0.15">
      <c r="A12" s="10" t="s">
        <v>8955</v>
      </c>
      <c r="B12" s="11">
        <v>1.04</v>
      </c>
      <c r="C12" s="4">
        <f>VLOOKUP(A12,Current!B:I,7,0)</f>
        <v>1.03</v>
      </c>
    </row>
    <row r="13" spans="1:3" x14ac:dyDescent="0.15">
      <c r="A13" s="10" t="s">
        <v>8974</v>
      </c>
      <c r="B13" s="11">
        <v>0.86</v>
      </c>
      <c r="C13" s="4">
        <f>VLOOKUP(A13,Current!B:I,7,0)</f>
        <v>0.83</v>
      </c>
    </row>
    <row r="14" spans="1:3" x14ac:dyDescent="0.15">
      <c r="A14" s="10" t="s">
        <v>9013</v>
      </c>
      <c r="B14" s="11">
        <v>0.35</v>
      </c>
      <c r="C14" s="4">
        <f>VLOOKUP(A14,Current!B:I,7,0)</f>
        <v>0.36</v>
      </c>
    </row>
    <row r="15" spans="1:3" x14ac:dyDescent="0.15">
      <c r="A15" s="10" t="s">
        <v>8956</v>
      </c>
      <c r="B15" s="11">
        <v>0.86</v>
      </c>
      <c r="C15" s="4">
        <f>VLOOKUP(A15,Current!B:I,7,0)</f>
        <v>0.85</v>
      </c>
    </row>
    <row r="16" spans="1:3" x14ac:dyDescent="0.15">
      <c r="A16" s="10" t="s">
        <v>8963</v>
      </c>
      <c r="B16" s="11">
        <v>4.7</v>
      </c>
      <c r="C16" s="4">
        <f>VLOOKUP(A16,Current!B:I,7,0)</f>
        <v>4.51</v>
      </c>
    </row>
    <row r="17" spans="1:4" x14ac:dyDescent="0.15">
      <c r="A17" s="10" t="s">
        <v>9021</v>
      </c>
      <c r="B17" s="11">
        <v>0.88</v>
      </c>
      <c r="C17" s="4">
        <f>VLOOKUP(A17,Current!B:I,7,0)</f>
        <v>0.88</v>
      </c>
      <c r="D17" s="4" t="s">
        <v>9032</v>
      </c>
    </row>
    <row r="18" spans="1:4" x14ac:dyDescent="0.15">
      <c r="A18" s="10" t="s">
        <v>8957</v>
      </c>
      <c r="B18" s="11">
        <v>1.23</v>
      </c>
      <c r="C18" s="4">
        <f>VLOOKUP(A18,Current!B:I,7,0)</f>
        <v>1.22</v>
      </c>
    </row>
    <row r="19" spans="1:4" x14ac:dyDescent="0.15">
      <c r="A19" s="10" t="s">
        <v>8964</v>
      </c>
      <c r="B19" s="11">
        <v>3.33</v>
      </c>
      <c r="C19" s="4">
        <f>VLOOKUP(A19,Current!B:I,7,0)</f>
        <v>3.25</v>
      </c>
    </row>
    <row r="20" spans="1:4" x14ac:dyDescent="0.15">
      <c r="A20" s="10" t="s">
        <v>9022</v>
      </c>
      <c r="B20" s="11">
        <v>1.85</v>
      </c>
      <c r="C20" s="4">
        <f>VLOOKUP(A20,Current!B:I,7,0)</f>
        <v>1.86</v>
      </c>
      <c r="D20" s="4" t="s">
        <v>9033</v>
      </c>
    </row>
    <row r="21" spans="1:4" x14ac:dyDescent="0.15">
      <c r="A21" s="10" t="s">
        <v>8958</v>
      </c>
      <c r="B21" s="11">
        <v>2.89</v>
      </c>
      <c r="C21" s="4">
        <f>VLOOKUP(A21,Current!B:I,7,0)</f>
        <v>2.79</v>
      </c>
    </row>
    <row r="22" spans="1:4" x14ac:dyDescent="0.15">
      <c r="A22" s="10" t="s">
        <v>8965</v>
      </c>
      <c r="B22" s="11">
        <v>0.75</v>
      </c>
      <c r="C22" s="4">
        <f>VLOOKUP(A22,Current!B:I,7,0)</f>
        <v>0.77</v>
      </c>
    </row>
    <row r="23" spans="1:4" x14ac:dyDescent="0.15">
      <c r="A23" s="10" t="s">
        <v>8945</v>
      </c>
      <c r="B23" s="11">
        <v>0.62</v>
      </c>
      <c r="C23" s="4">
        <f>VLOOKUP(A23,Current!B:I,7,0)</f>
        <v>0.6</v>
      </c>
    </row>
    <row r="24" spans="1:4" x14ac:dyDescent="0.15">
      <c r="A24" s="10" t="s">
        <v>9014</v>
      </c>
      <c r="B24" s="11">
        <v>1.28</v>
      </c>
      <c r="C24" s="4">
        <f>VLOOKUP(A24,Current!B:I,7,0)</f>
        <v>1.27</v>
      </c>
    </row>
    <row r="25" spans="1:4" x14ac:dyDescent="0.15">
      <c r="A25" s="10" t="s">
        <v>8966</v>
      </c>
      <c r="B25" s="11">
        <v>0.73</v>
      </c>
      <c r="C25" s="4">
        <f>VLOOKUP(A25,Current!B:I,7,0)</f>
        <v>0.73</v>
      </c>
    </row>
    <row r="26" spans="1:4" x14ac:dyDescent="0.15">
      <c r="A26" s="10" t="s">
        <v>8946</v>
      </c>
      <c r="B26" s="11">
        <v>0.43</v>
      </c>
      <c r="C26" s="4">
        <f>VLOOKUP(A26,Current!B:I,7,0)</f>
        <v>0.43</v>
      </c>
    </row>
    <row r="27" spans="1:4" x14ac:dyDescent="0.15">
      <c r="A27" s="10" t="s">
        <v>8976</v>
      </c>
      <c r="B27" s="11">
        <v>1.34</v>
      </c>
      <c r="C27" s="4">
        <f>VLOOKUP(A27,Current!B:I,7,0)</f>
        <v>1.32</v>
      </c>
    </row>
    <row r="28" spans="1:4" x14ac:dyDescent="0.15">
      <c r="A28" s="10" t="s">
        <v>8967</v>
      </c>
      <c r="B28" s="11">
        <v>1.77</v>
      </c>
      <c r="C28" s="4">
        <f>VLOOKUP(A28,Current!B:I,7,0)</f>
        <v>1.79</v>
      </c>
    </row>
    <row r="29" spans="1:4" x14ac:dyDescent="0.15">
      <c r="A29" s="10" t="s">
        <v>8978</v>
      </c>
      <c r="B29" s="11">
        <v>0.55000000000000004</v>
      </c>
      <c r="C29" s="4">
        <f>VLOOKUP(A29,Current!B:I,7,0)</f>
        <v>0.55000000000000004</v>
      </c>
    </row>
    <row r="30" spans="1:4" x14ac:dyDescent="0.15">
      <c r="A30" s="10" t="s">
        <v>8977</v>
      </c>
      <c r="B30" s="11">
        <v>3.06</v>
      </c>
      <c r="C30" s="4">
        <f>VLOOKUP(A30,Current!B:I,7,0)</f>
        <v>3.09</v>
      </c>
    </row>
    <row r="31" spans="1:4" x14ac:dyDescent="0.15">
      <c r="A31" s="10" t="s">
        <v>8940</v>
      </c>
      <c r="B31" s="11">
        <v>10.76</v>
      </c>
      <c r="C31" s="4">
        <f>VLOOKUP(A31,Current!B:I,7,0)</f>
        <v>11.08</v>
      </c>
    </row>
    <row r="32" spans="1:4" x14ac:dyDescent="0.15">
      <c r="A32" s="10" t="s">
        <v>8947</v>
      </c>
      <c r="B32" s="11">
        <v>1.31</v>
      </c>
      <c r="C32" s="4">
        <f>VLOOKUP(A32,Current!B:I,7,0)</f>
        <v>1.3</v>
      </c>
    </row>
    <row r="33" spans="1:3" x14ac:dyDescent="0.15">
      <c r="A33" s="10" t="s">
        <v>8959</v>
      </c>
      <c r="B33" s="11">
        <v>1.9</v>
      </c>
      <c r="C33" s="4">
        <f>VLOOKUP(A33,Current!B:I,7,0)</f>
        <v>1.89</v>
      </c>
    </row>
    <row r="34" spans="1:3" x14ac:dyDescent="0.15">
      <c r="A34" s="10" t="s">
        <v>8948</v>
      </c>
      <c r="B34" s="11">
        <v>1.33</v>
      </c>
      <c r="C34" s="4">
        <f>VLOOKUP(A34,Current!B:I,7,0)</f>
        <v>1.34</v>
      </c>
    </row>
    <row r="35" spans="1:3" x14ac:dyDescent="0.15">
      <c r="A35" s="10" t="s">
        <v>8979</v>
      </c>
      <c r="B35" s="11">
        <v>1.1000000000000001</v>
      </c>
      <c r="C35" s="4">
        <f>VLOOKUP(A35,Current!B:I,7,0)</f>
        <v>1.1000000000000001</v>
      </c>
    </row>
    <row r="36" spans="1:3" x14ac:dyDescent="0.15">
      <c r="A36" s="10" t="s">
        <v>8980</v>
      </c>
      <c r="B36" s="11">
        <v>1.44</v>
      </c>
      <c r="C36" s="4">
        <f>VLOOKUP(A36,Current!B:I,7,0)</f>
        <v>1.42</v>
      </c>
    </row>
    <row r="37" spans="1:3" x14ac:dyDescent="0.15">
      <c r="A37" s="10" t="s">
        <v>8949</v>
      </c>
      <c r="B37" s="11">
        <v>0.94</v>
      </c>
      <c r="C37" s="4">
        <f>VLOOKUP(A37,Current!B:I,7,0)</f>
        <v>0.96</v>
      </c>
    </row>
    <row r="38" spans="1:3" x14ac:dyDescent="0.15">
      <c r="A38" s="10" t="s">
        <v>8961</v>
      </c>
      <c r="B38" s="11">
        <v>1.01</v>
      </c>
      <c r="C38" s="4">
        <f>VLOOKUP(A38,Current!B:I,7,0)</f>
        <v>1.01</v>
      </c>
    </row>
    <row r="39" spans="1:3" x14ac:dyDescent="0.15">
      <c r="A39" s="10" t="s">
        <v>8982</v>
      </c>
      <c r="B39" s="11">
        <v>1.66</v>
      </c>
      <c r="C39" s="4">
        <f>VLOOKUP(A39,Current!B:I,7,0)</f>
        <v>1.65</v>
      </c>
    </row>
    <row r="40" spans="1:3" x14ac:dyDescent="0.15">
      <c r="A40" s="10" t="s">
        <v>8950</v>
      </c>
      <c r="B40" s="11">
        <v>6.54</v>
      </c>
      <c r="C40" s="4">
        <f>VLOOKUP(A40,Current!B:I,7,0)</f>
        <v>6.63</v>
      </c>
    </row>
    <row r="41" spans="1:3" x14ac:dyDescent="0.15">
      <c r="A41" s="10" t="s">
        <v>8983</v>
      </c>
      <c r="B41" s="11">
        <v>0.31</v>
      </c>
      <c r="C41" s="4">
        <f>VLOOKUP(A41,Current!B:I,7,0)</f>
        <v>0.3</v>
      </c>
    </row>
    <row r="42" spans="1:3" x14ac:dyDescent="0.15">
      <c r="A42" s="10" t="s">
        <v>8984</v>
      </c>
      <c r="B42" s="11">
        <v>0.45</v>
      </c>
      <c r="C42" s="4">
        <f>VLOOKUP(A42,Current!B:I,7,0)</f>
        <v>0.44</v>
      </c>
    </row>
    <row r="43" spans="1:3" x14ac:dyDescent="0.15">
      <c r="A43" s="10" t="s">
        <v>8941</v>
      </c>
      <c r="B43" s="11">
        <v>0.93</v>
      </c>
      <c r="C43" s="4">
        <f>VLOOKUP(A43,Current!B:I,7,0)</f>
        <v>0.93</v>
      </c>
    </row>
    <row r="44" spans="1:3" x14ac:dyDescent="0.15">
      <c r="A44" s="10" t="s">
        <v>8986</v>
      </c>
      <c r="B44" s="11">
        <v>1.58</v>
      </c>
      <c r="C44" s="4">
        <f>VLOOKUP(A44,Current!B:I,7,0)</f>
        <v>1.58</v>
      </c>
    </row>
    <row r="45" spans="1:3" x14ac:dyDescent="0.15">
      <c r="A45" s="10" t="s">
        <v>8968</v>
      </c>
      <c r="B45" s="11">
        <v>4.16</v>
      </c>
      <c r="C45" s="4">
        <f>VLOOKUP(A45,Current!B:I,7,0)</f>
        <v>4.21</v>
      </c>
    </row>
    <row r="46" spans="1:3" x14ac:dyDescent="0.15">
      <c r="A46" s="10" t="s">
        <v>8988</v>
      </c>
      <c r="B46" s="11">
        <v>2.04</v>
      </c>
      <c r="C46" s="4">
        <f>VLOOKUP(A46,Current!B:I,7,0)</f>
        <v>2.06</v>
      </c>
    </row>
    <row r="47" spans="1:3" x14ac:dyDescent="0.15">
      <c r="A47" s="10" t="s">
        <v>8990</v>
      </c>
      <c r="B47" s="11">
        <v>2.12</v>
      </c>
      <c r="C47" s="4">
        <f>VLOOKUP(A47,Current!B:I,7,0)</f>
        <v>2.0699999999999998</v>
      </c>
    </row>
    <row r="48" spans="1:3" x14ac:dyDescent="0.15">
      <c r="A48" s="10" t="s">
        <v>8951</v>
      </c>
      <c r="B48" s="11">
        <v>4.42</v>
      </c>
      <c r="C48" s="4">
        <f>VLOOKUP(A48,Current!B:I,7,0)</f>
        <v>4.46</v>
      </c>
    </row>
    <row r="49" spans="1:3" x14ac:dyDescent="0.15">
      <c r="A49" s="10" t="s">
        <v>8989</v>
      </c>
      <c r="B49" s="11">
        <v>1.91</v>
      </c>
      <c r="C49" s="4">
        <f>VLOOKUP(A49,Current!B:I,7,0)</f>
        <v>1.86</v>
      </c>
    </row>
    <row r="50" spans="1:3" x14ac:dyDescent="0.15">
      <c r="A50" s="10" t="s">
        <v>8987</v>
      </c>
      <c r="B50" s="11">
        <v>0.7</v>
      </c>
      <c r="C50" s="4">
        <f>VLOOKUP(A50,Current!B:I,7,0)</f>
        <v>0.7</v>
      </c>
    </row>
    <row r="51" spans="1:3" x14ac:dyDescent="0.15">
      <c r="A51" s="10" t="s">
        <v>8991</v>
      </c>
      <c r="B51" s="11">
        <v>1.1499999999999999</v>
      </c>
      <c r="C51" s="4">
        <f>VLOOKUP(A51,Current!B:I,7,0)</f>
        <v>1.1599999999999999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2017-07-23T23:36:21Z</dcterms:modified>
</cp:coreProperties>
</file>