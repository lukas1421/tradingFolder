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8" windowHeight="7752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I17" i="3" l="1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C17" i="2" l="1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<sst xmlns="http://schemas.openxmlformats.org/spreadsheetml/2006/main" count="124588" uniqueCount="11011">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</sst>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426720</xdr:colOff>
          <xdr:row>2</xdr:row>
          <xdr:rowOff>0</xdr:rowOff>
        </xdr:from>
        <xdr:to>
          <xdr:col>29</xdr:col>
          <xdr:colOff>213360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449580</xdr:colOff>
          <xdr:row>2</xdr:row>
          <xdr:rowOff>0</xdr:rowOff>
        </xdr:from>
        <xdr:to>
          <xdr:col>29</xdr:col>
          <xdr:colOff>259080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289560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518160</xdr:colOff>
          <xdr:row>2</xdr:row>
          <xdr:rowOff>68580</xdr:rowOff>
        </xdr:from>
        <xdr:to>
          <xdr:col>29</xdr:col>
          <xdr:colOff>182880</xdr:colOff>
          <xdr:row>3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21" zoomScale="86" zoomScaleNormal="86" workbookViewId="0">
      <selection activeCell="B40" sqref="B40"/>
    </sheetView>
  </sheetViews>
  <sheetFormatPr defaultRowHeight="14.4" x14ac:dyDescent="0.25"/>
  <cols>
    <col min="2" max="2" width="43.88671875" bestFit="1" customWidth="1"/>
    <col min="3" max="4" width="9.21875" customWidth="1"/>
    <col min="5" max="8" width="9" customWidth="1"/>
    <col min="9" max="9" width="13.88671875" bestFit="1" customWidth="1"/>
    <col min="10" max="12" width="0" hidden="1" customWidth="1"/>
    <col min="13" max="13" width="9.44140625" hidden="1" customWidth="1"/>
    <col min="14" max="16" width="0" hidden="1" customWidth="1"/>
    <col min="17" max="22" width="0" style="4" hidden="1" customWidth="1"/>
    <col min="25" max="25" width="16.44140625" bestFit="1" customWidth="1"/>
  </cols>
  <sheetData>
    <row r="1" spans="1:31" ht="13.5" x14ac:dyDescent="0.15">
      <c r="H1">
        <f>+SUM(H3:H52)</f>
        <v>100.29999999999998</v>
      </c>
      <c r="I1">
        <f>+SUM(I3:I52)</f>
        <v>100.20999999999995</v>
      </c>
      <c r="Q1"/>
      <c r="W1" s="4" t="s">
        <v>9011</v>
      </c>
      <c r="X1">
        <f>SUM(W3:W52)</f>
        <v>-8.9999999999998748E-2</v>
      </c>
      <c r="Z1" t="s">
        <v>8852</v>
      </c>
      <c r="AE1" t="s">
        <v>9012</v>
      </c>
    </row>
    <row r="2" spans="1:31" x14ac:dyDescent="0.25">
      <c r="A2" t="s">
        <v>8997</v>
      </c>
      <c r="B2" t="s">
        <v>0</v>
      </c>
      <c r="C2" t="s">
        <v>1</v>
      </c>
      <c r="D2" t="s">
        <v>9033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100.20999999999995</v>
      </c>
    </row>
    <row r="3" spans="1:31" x14ac:dyDescent="0.2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9034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2.92</v>
      </c>
      <c r="J3">
        <f t="shared" ref="J3:J25" si="1">+I3-H3</f>
        <v>-1.0000000000000231E-2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-1.0000000000000231E-2</v>
      </c>
      <c r="Z3" s="6" t="str">
        <f>+G3</f>
        <v>sh601288</v>
      </c>
      <c r="AA3" s="5">
        <f>I3</f>
        <v>2.92</v>
      </c>
    </row>
    <row r="4" spans="1:31" x14ac:dyDescent="0.2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9034</v>
      </c>
      <c r="E4" t="s">
        <v>8905</v>
      </c>
      <c r="F4" s="2" t="s">
        <v>8995</v>
      </c>
      <c r="G4" s="6" t="str">
        <f t="shared" si="0"/>
        <v>sh601169</v>
      </c>
      <c r="H4" s="5">
        <v>2.0699999999999998</v>
      </c>
      <c r="I4" s="5">
        <f>IF(ISNA(VLOOKUP(B4,Sheet1!A:B,2,0)),0,VLOOKUP(B4,Sheet1!A:B,2,0))</f>
        <v>2.0699999999999998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2.0699999999999998</v>
      </c>
    </row>
    <row r="5" spans="1:31" x14ac:dyDescent="0.2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9034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1.91</v>
      </c>
      <c r="I5" s="5">
        <f>IF(ISNA(VLOOKUP(B5,Sheet1!A:B,2,0)),0,VLOOKUP(B5,Sheet1!A:B,2,0))</f>
        <v>1.89</v>
      </c>
      <c r="J5">
        <f t="shared" si="1"/>
        <v>-2.0000000000000018E-2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-5.8445999999999998E-2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-2.0000000000000018E-2</v>
      </c>
      <c r="Z5" s="6" t="str">
        <f t="shared" si="4"/>
        <v>sh601988</v>
      </c>
      <c r="AA5" s="5">
        <f t="shared" si="5"/>
        <v>1.89</v>
      </c>
    </row>
    <row r="6" spans="1:31" x14ac:dyDescent="0.2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9034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2.76</v>
      </c>
      <c r="I6" s="5">
        <f>IF(ISNA(VLOOKUP(B6,Sheet1!A:B,2,0)),0,VLOOKUP(B6,Sheet1!A:B,2,0))</f>
        <v>2.75</v>
      </c>
      <c r="J6">
        <f t="shared" si="1"/>
        <v>-9.9999999999997868E-3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-9.5771999999999996E-2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-9.9999999999997868E-3</v>
      </c>
      <c r="Z6" s="6" t="str">
        <f t="shared" si="4"/>
        <v>sh601328</v>
      </c>
      <c r="AA6" s="5">
        <f t="shared" si="5"/>
        <v>2.75</v>
      </c>
    </row>
    <row r="7" spans="1:31" x14ac:dyDescent="0.25">
      <c r="A7" t="str">
        <f>F7</f>
        <v>601229</v>
      </c>
      <c r="B7" s="10" t="s">
        <v>9013</v>
      </c>
      <c r="C7" t="s">
        <v>9017</v>
      </c>
      <c r="D7" t="s">
        <v>9034</v>
      </c>
      <c r="E7" t="s">
        <v>9019</v>
      </c>
      <c r="F7" s="2" t="s">
        <v>9015</v>
      </c>
      <c r="G7" s="6" t="str">
        <f>E7&amp;F7</f>
        <v>sh601229</v>
      </c>
      <c r="H7" s="5">
        <v>0.3</v>
      </c>
      <c r="I7" s="5">
        <f>IF(ISNA(VLOOKUP(B7,Sheet1!A:B,2,0)),0,VLOOKUP(B7,Sheet1!A:B,2,0))</f>
        <v>0.3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</v>
      </c>
    </row>
    <row r="8" spans="1:31" x14ac:dyDescent="0.25">
      <c r="A8" t="str">
        <f t="shared" ref="A8:A9" si="9">F8</f>
        <v>600019</v>
      </c>
      <c r="B8" s="10" t="s">
        <v>9021</v>
      </c>
      <c r="C8" t="s">
        <v>9024</v>
      </c>
      <c r="D8" t="s">
        <v>9206</v>
      </c>
      <c r="E8" t="s">
        <v>9025</v>
      </c>
      <c r="F8" s="2" t="s">
        <v>9023</v>
      </c>
      <c r="G8" s="6" t="str">
        <f t="shared" ref="G8:G9" si="10">E8&amp;F8</f>
        <v>sh600019</v>
      </c>
      <c r="H8" s="5">
        <v>0.82</v>
      </c>
      <c r="I8" s="5">
        <f>IF(ISNA(VLOOKUP(B8,Sheet1!A:B,2,0)),0,VLOOKUP(B8,Sheet1!A:B,2,0))</f>
        <v>0.84</v>
      </c>
      <c r="N8" s="3"/>
      <c r="Q8"/>
      <c r="R8" s="1"/>
      <c r="S8" s="1"/>
      <c r="T8" s="1"/>
      <c r="U8" s="1"/>
      <c r="V8" s="1"/>
      <c r="W8" s="1">
        <f t="shared" si="3"/>
        <v>2.0000000000000018E-2</v>
      </c>
      <c r="Z8" s="6" t="str">
        <f t="shared" ref="Z8:Z9" si="11">+G8</f>
        <v>sh600019</v>
      </c>
      <c r="AA8" s="5">
        <f t="shared" ref="AA8:AA9" si="12">I8</f>
        <v>0.84</v>
      </c>
    </row>
    <row r="9" spans="1:31" x14ac:dyDescent="0.25">
      <c r="A9" t="str">
        <f t="shared" si="9"/>
        <v>000725</v>
      </c>
      <c r="B9" s="10" t="s">
        <v>9022</v>
      </c>
      <c r="C9" t="s">
        <v>9028</v>
      </c>
      <c r="D9" t="s">
        <v>9223</v>
      </c>
      <c r="E9" t="s">
        <v>9027</v>
      </c>
      <c r="F9" s="2" t="s">
        <v>9026</v>
      </c>
      <c r="G9" s="6" t="str">
        <f t="shared" si="10"/>
        <v>sz000725</v>
      </c>
      <c r="H9" s="5">
        <v>1.86</v>
      </c>
      <c r="I9" s="5">
        <f>IF(ISNA(VLOOKUP(B9,Sheet1!A:B,2,0)),0,VLOOKUP(B9,Sheet1!A:B,2,0))</f>
        <v>1.88</v>
      </c>
      <c r="N9" s="3"/>
      <c r="Q9"/>
      <c r="R9" s="1"/>
      <c r="S9" s="1"/>
      <c r="T9" s="1"/>
      <c r="U9" s="1"/>
      <c r="V9" s="1"/>
      <c r="W9" s="1">
        <f t="shared" si="3"/>
        <v>1.9999999999999796E-2</v>
      </c>
      <c r="Z9" s="6" t="str">
        <f t="shared" si="11"/>
        <v>sz000725</v>
      </c>
      <c r="AA9" s="5">
        <f t="shared" si="12"/>
        <v>1.88</v>
      </c>
    </row>
    <row r="10" spans="1:31" x14ac:dyDescent="0.2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9102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0.76</v>
      </c>
      <c r="I10" s="5">
        <f>IF(ISNA(VLOOKUP(B10,Sheet1!A:B,2,0)),0,VLOOKUP(B10,Sheet1!A:B,2,0))</f>
        <v>0.8</v>
      </c>
      <c r="J10">
        <f t="shared" si="1"/>
        <v>4.0000000000000036E-2</v>
      </c>
      <c r="K10" t="str">
        <f t="shared" ref="K10:K27" si="13">VLOOKUP(F10,Q:R,2,0)</f>
        <v>比亚迪</v>
      </c>
      <c r="L10" t="str">
        <f t="shared" si="7"/>
        <v>sz002594</v>
      </c>
      <c r="M10" t="str">
        <f t="shared" ref="M10:M27" si="14">VLOOKUP(F10,Q:T,4,0)</f>
        <v>-3.09</v>
      </c>
      <c r="N10" s="3">
        <f t="shared" si="8"/>
        <v>-2.3483999999999998E-2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4.0000000000000036E-2</v>
      </c>
      <c r="Z10" s="6" t="str">
        <f t="shared" si="4"/>
        <v>sz002594</v>
      </c>
      <c r="AA10" s="5">
        <f t="shared" si="5"/>
        <v>0.8</v>
      </c>
    </row>
    <row r="11" spans="1:31" x14ac:dyDescent="0.2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9034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0.37</v>
      </c>
      <c r="I11" s="5">
        <f>IF(ISNA(VLOOKUP(B11,Sheet1!A:B,2,0)),0,VLOOKUP(B11,Sheet1!A:B,2,0))</f>
        <v>0.37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-1.6982999999999998E-2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0.37</v>
      </c>
    </row>
    <row r="12" spans="1:31" x14ac:dyDescent="0.2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9108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0.48</v>
      </c>
      <c r="I12" s="5">
        <f>IF(ISNA(VLOOKUP(B12,Sheet1!A:B,2,0)),0,VLOOKUP(B12,Sheet1!A:B,2,0))</f>
        <v>0.48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-2.4815999999999998E-2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0.48</v>
      </c>
    </row>
    <row r="13" spans="1:31" x14ac:dyDescent="0.2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9034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1.37</v>
      </c>
      <c r="I13" s="5">
        <f>IF(ISNA(VLOOKUP(B13,Sheet1!A:B,2,0)),0,VLOOKUP(B13,Sheet1!A:B,2,0))</f>
        <v>1.36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-3.1509999999999996E-2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1.36</v>
      </c>
    </row>
    <row r="14" spans="1:31" x14ac:dyDescent="0.2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9034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1.23</v>
      </c>
      <c r="I14" s="5">
        <f>IF(ISNA(VLOOKUP(B14,Sheet1!A:B,2,0)),0,VLOOKUP(B14,Sheet1!A:B,2,0))</f>
        <v>1.23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-4.1696999999999998E-2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1.23</v>
      </c>
    </row>
    <row r="15" spans="1:31" x14ac:dyDescent="0.2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9077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0.89</v>
      </c>
      <c r="I15" s="5">
        <f>IF(ISNA(VLOOKUP(B15,Sheet1!A:B,2,0)),0,VLOOKUP(B15,Sheet1!A:B,2,0))</f>
        <v>0.88</v>
      </c>
      <c r="J15">
        <f t="shared" si="1"/>
        <v>-1.0000000000000009E-2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-1.6909999999999998E-2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-1.0000000000000009E-2</v>
      </c>
      <c r="Z15" s="6" t="str">
        <f t="shared" si="4"/>
        <v>sh601628</v>
      </c>
      <c r="AA15" s="5">
        <f t="shared" si="5"/>
        <v>0.88</v>
      </c>
    </row>
    <row r="16" spans="1:31" x14ac:dyDescent="0.2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9034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6.52</v>
      </c>
      <c r="I16" s="5">
        <f>IF(ISNA(VLOOKUP(B16,Sheet1!A:B,2,0)),0,VLOOKUP(B16,Sheet1!A:B,2,0))</f>
        <v>6.46</v>
      </c>
      <c r="J16">
        <f t="shared" si="1"/>
        <v>-5.9999999999999609E-2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-0.168216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-5.9999999999999609E-2</v>
      </c>
      <c r="Z16" s="6" t="str">
        <f t="shared" si="4"/>
        <v>sh600036</v>
      </c>
      <c r="AA16" s="5">
        <f t="shared" si="5"/>
        <v>6.46</v>
      </c>
    </row>
    <row r="17" spans="1:29" x14ac:dyDescent="0.2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9098</v>
      </c>
      <c r="E17" t="s">
        <v>8908</v>
      </c>
      <c r="F17" s="2" t="s">
        <v>8910</v>
      </c>
      <c r="G17" s="6" t="str">
        <f t="shared" si="0"/>
        <v>sz001979</v>
      </c>
      <c r="H17" s="5">
        <v>0.82</v>
      </c>
      <c r="I17" s="5">
        <f>IF(ISNA(VLOOKUP(B17,Sheet1!A:B,2,0)),0,VLOOKUP(B17,Sheet1!A:B,2,0))</f>
        <v>0.82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0.82</v>
      </c>
    </row>
    <row r="18" spans="1:29" x14ac:dyDescent="0.2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9034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</v>
      </c>
      <c r="I18" s="5">
        <f>IF(ISNA(VLOOKUP(B18,Sheet1!A:B,2,0)),0,VLOOKUP(B18,Sheet1!A:B,2,0))</f>
        <v>3.99</v>
      </c>
      <c r="J18">
        <f t="shared" si="1"/>
        <v>-9.9999999999997868E-3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-9.5999999999999992E-3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-9.9999999999997868E-3</v>
      </c>
      <c r="Z18" s="6" t="str">
        <f t="shared" si="4"/>
        <v>sh600016</v>
      </c>
      <c r="AA18" s="5">
        <f t="shared" si="5"/>
        <v>3.99</v>
      </c>
    </row>
    <row r="19" spans="1:29" x14ac:dyDescent="0.2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9182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2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9077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2.04</v>
      </c>
      <c r="I20" s="5">
        <f>IF(ISNA(VLOOKUP(B20,Sheet1!A:B,2,0)),0,VLOOKUP(B20,Sheet1!A:B,2,0))</f>
        <v>1.99</v>
      </c>
      <c r="J20">
        <f t="shared" si="1"/>
        <v>-5.0000000000000044E-2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-3.5291999999999997E-2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-5.0000000000000044E-2</v>
      </c>
      <c r="Z20" s="6" t="str">
        <f t="shared" si="4"/>
        <v>sh601601</v>
      </c>
      <c r="AA20" s="5">
        <f t="shared" si="5"/>
        <v>1.99</v>
      </c>
    </row>
    <row r="21" spans="1:29" x14ac:dyDescent="0.2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9070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1.23</v>
      </c>
      <c r="I21" s="5">
        <f>IF(ISNA(VLOOKUP(B21,Sheet1!A:B,2,0)),0,VLOOKUP(B21,Sheet1!A:B,2,0))</f>
        <v>1.22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-4.7724000000000003E-2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1.22</v>
      </c>
    </row>
    <row r="22" spans="1:29" x14ac:dyDescent="0.2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9108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0.99</v>
      </c>
      <c r="I22" s="5">
        <f>IF(ISNA(VLOOKUP(B22,Sheet1!A:B,2,0)),0,VLOOKUP(B22,Sheet1!A:B,2,0))</f>
        <v>0.99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-5.7023999999999998E-2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0.99</v>
      </c>
    </row>
    <row r="23" spans="1:29" x14ac:dyDescent="0.2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9108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0.96</v>
      </c>
      <c r="I23" s="5">
        <f>IF(ISNA(VLOOKUP(B23,Sheet1!A:B,2,0)),0,VLOOKUP(B23,Sheet1!A:B,2,0))</f>
        <v>0.96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-6.0095999999999997E-2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0.96</v>
      </c>
    </row>
    <row r="24" spans="1:29" x14ac:dyDescent="0.2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9089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0.91</v>
      </c>
      <c r="I24" s="5">
        <f>IF(ISNA(VLOOKUP(B24,Sheet1!A:B,2,0)),0,VLOOKUP(B24,Sheet1!A:B,2,0))</f>
        <v>0.91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-3.4488999999999999E-2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0.91</v>
      </c>
      <c r="AC24" s="18"/>
    </row>
    <row r="25" spans="1:29" x14ac:dyDescent="0.2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9152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2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9108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2.4500000000000002</v>
      </c>
      <c r="I26" s="5">
        <f>IF(ISNA(VLOOKUP(B26,Sheet1!A:B,2,0)),0,VLOOKUP(B26,Sheet1!A:B,2,0))</f>
        <v>2.46</v>
      </c>
      <c r="J26">
        <f t="shared" ref="J26:J52" si="16">+I26-H26</f>
        <v>9.9999999999997868E-3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-0.11711000000000002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9.9999999999997868E-3</v>
      </c>
      <c r="Z26" s="6" t="str">
        <f t="shared" si="4"/>
        <v>sh601668</v>
      </c>
      <c r="AA26" s="5">
        <f t="shared" si="5"/>
        <v>2.46</v>
      </c>
    </row>
    <row r="27" spans="1:29" x14ac:dyDescent="0.25">
      <c r="A27" t="str">
        <f>F27</f>
        <v>600050</v>
      </c>
      <c r="B27" s="10" t="s">
        <v>9014</v>
      </c>
      <c r="C27" t="s">
        <v>9016</v>
      </c>
      <c r="D27" t="s">
        <v>9171</v>
      </c>
      <c r="E27" t="s">
        <v>9019</v>
      </c>
      <c r="F27" s="2" t="s">
        <v>9018</v>
      </c>
      <c r="G27" s="6" t="str">
        <f>E27&amp;F27</f>
        <v>sh600050</v>
      </c>
      <c r="H27" s="5">
        <v>1.2</v>
      </c>
      <c r="I27" s="5">
        <f>IF(ISNA(VLOOKUP(B27,Sheet1!A:B,2,0)),0,VLOOKUP(B27,Sheet1!A:B,2,0))</f>
        <v>1.23</v>
      </c>
      <c r="J27">
        <f>+I27-H27</f>
        <v>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-6.948E-2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3.0000000000000027E-2</v>
      </c>
      <c r="Z27" s="6" t="str">
        <f>+G27</f>
        <v>sh600050</v>
      </c>
      <c r="AA27" s="5">
        <f>I27</f>
        <v>1.23</v>
      </c>
    </row>
    <row r="28" spans="1:29" x14ac:dyDescent="0.25">
      <c r="A28" t="str">
        <f>F28</f>
        <v>000002</v>
      </c>
      <c r="B28" s="10" t="s">
        <v>11007</v>
      </c>
      <c r="C28" t="s">
        <v>11009</v>
      </c>
      <c r="D28" s="11" t="s">
        <v>9098</v>
      </c>
      <c r="E28" t="s">
        <v>11010</v>
      </c>
      <c r="F28" s="2" t="s">
        <v>11008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25">
      <c r="A29" t="str">
        <f t="shared" si="2"/>
        <v>600900</v>
      </c>
      <c r="B29" s="10" t="s">
        <v>8976</v>
      </c>
      <c r="C29" s="11" t="s">
        <v>9001</v>
      </c>
      <c r="D29" s="11" t="s">
        <v>9095</v>
      </c>
      <c r="E29" t="s">
        <v>8937</v>
      </c>
      <c r="F29" s="2" t="s">
        <v>8938</v>
      </c>
      <c r="G29" s="6" t="str">
        <f t="shared" si="0"/>
        <v>sh600900</v>
      </c>
      <c r="H29" s="5">
        <v>1.3</v>
      </c>
      <c r="I29" s="5">
        <f>IF(ISNA(VLOOKUP(B29,Sheet1!A:B,2,0)),0,VLOOKUP(B29,Sheet1!A:B,2,0))</f>
        <v>1.3</v>
      </c>
      <c r="J29">
        <f t="shared" si="16"/>
        <v>0</v>
      </c>
      <c r="K29" t="str">
        <f t="shared" ref="K29:K39" si="19">VLOOKUP(F29,Q:R,2,0)</f>
        <v>长江电力</v>
      </c>
      <c r="L29" t="str">
        <f t="shared" si="17"/>
        <v>sh600900</v>
      </c>
      <c r="M29" t="str">
        <f t="shared" ref="M29:M39" si="20">VLOOKUP(F29,Q:T,4,0)</f>
        <v>-1.71</v>
      </c>
      <c r="N29" s="3">
        <f t="shared" si="18"/>
        <v>-2.223E-2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sh600900</v>
      </c>
      <c r="AA29" s="5">
        <f t="shared" ref="AA29:AA52" si="21">I29</f>
        <v>1.3</v>
      </c>
    </row>
    <row r="30" spans="1:29" x14ac:dyDescent="0.2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9112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3.02</v>
      </c>
      <c r="I30" s="5">
        <f>IF(ISNA(VLOOKUP(B30,Sheet1!A:B,2,0)),0,VLOOKUP(B30,Sheet1!A:B,2,0))</f>
        <v>3.03</v>
      </c>
      <c r="J30">
        <f t="shared" si="16"/>
        <v>9.9999999999997868E-3</v>
      </c>
      <c r="K30" t="e">
        <f t="shared" si="19"/>
        <v>#N/A</v>
      </c>
      <c r="L30" t="str">
        <f t="shared" si="17"/>
        <v>sh600030</v>
      </c>
      <c r="M30" t="e">
        <f t="shared" si="20"/>
        <v>#N/A</v>
      </c>
      <c r="N30" s="3" t="e">
        <f t="shared" si="18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9.9999999999997868E-3</v>
      </c>
      <c r="Z30" s="6" t="str">
        <f t="shared" si="4"/>
        <v>sh600030</v>
      </c>
      <c r="AA30" s="5">
        <f t="shared" si="21"/>
        <v>3.03</v>
      </c>
    </row>
    <row r="31" spans="1:29" x14ac:dyDescent="0.2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9105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1.57</v>
      </c>
      <c r="I31" s="5">
        <f>IF(ISNA(VLOOKUP(B31,Sheet1!A:B,2,0)),0,VLOOKUP(B31,Sheet1!A:B,2,0))</f>
        <v>1.57</v>
      </c>
      <c r="J31">
        <f t="shared" si="16"/>
        <v>0</v>
      </c>
      <c r="K31" t="str">
        <f t="shared" si="19"/>
        <v>中国中车</v>
      </c>
      <c r="L31" t="str">
        <f t="shared" si="17"/>
        <v>sh601766</v>
      </c>
      <c r="M31" t="str">
        <f t="shared" si="20"/>
        <v>-4.31</v>
      </c>
      <c r="N31" s="3">
        <f t="shared" si="18"/>
        <v>-6.7666999999999991E-2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sh601766</v>
      </c>
      <c r="AA31" s="5">
        <f t="shared" si="21"/>
        <v>1.57</v>
      </c>
    </row>
    <row r="32" spans="1:29" x14ac:dyDescent="0.2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9112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1.02</v>
      </c>
      <c r="I32" s="5">
        <f>IF(ISNA(VLOOKUP(B32,Sheet1!A:B,2,0)),0,VLOOKUP(B32,Sheet1!A:B,2,0))</f>
        <v>1.02</v>
      </c>
      <c r="J32">
        <f t="shared" si="16"/>
        <v>0</v>
      </c>
      <c r="K32" t="e">
        <f t="shared" si="19"/>
        <v>#N/A</v>
      </c>
      <c r="L32" t="str">
        <f t="shared" si="17"/>
        <v>sz000776</v>
      </c>
      <c r="M32" t="e">
        <f t="shared" si="20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21"/>
        <v>1.02</v>
      </c>
    </row>
    <row r="33" spans="1:27" x14ac:dyDescent="0.2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9102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9"/>
        <v>广汽集团</v>
      </c>
      <c r="L33" t="str">
        <f t="shared" si="17"/>
        <v>sh601238</v>
      </c>
      <c r="M33" t="str">
        <f t="shared" si="20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21"/>
        <v>0.31</v>
      </c>
    </row>
    <row r="34" spans="1:27" x14ac:dyDescent="0.2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9112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1.53</v>
      </c>
      <c r="J34">
        <f t="shared" si="16"/>
        <v>-2.0000000000000018E-2</v>
      </c>
      <c r="K34" t="str">
        <f t="shared" si="19"/>
        <v>国泰君安</v>
      </c>
      <c r="L34" t="str">
        <f t="shared" si="17"/>
        <v>sh601211</v>
      </c>
      <c r="M34" t="str">
        <f t="shared" si="20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-2.0000000000000018E-2</v>
      </c>
      <c r="Z34" s="6" t="str">
        <f t="shared" si="4"/>
        <v>sh601211</v>
      </c>
      <c r="AA34" s="5">
        <f t="shared" si="21"/>
        <v>1.53</v>
      </c>
    </row>
    <row r="35" spans="1:27" x14ac:dyDescent="0.2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9112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1.91</v>
      </c>
      <c r="I35" s="5">
        <f>IF(ISNA(VLOOKUP(B35,Sheet1!A:B,2,0)),0,VLOOKUP(B35,Sheet1!A:B,2,0))</f>
        <v>1.91</v>
      </c>
      <c r="J35">
        <f t="shared" si="16"/>
        <v>0</v>
      </c>
      <c r="K35" t="e">
        <f t="shared" si="19"/>
        <v>#N/A</v>
      </c>
      <c r="L35" t="str">
        <f t="shared" si="17"/>
        <v>sh600837</v>
      </c>
      <c r="M35" t="e">
        <f t="shared" si="20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21"/>
        <v>1.91</v>
      </c>
    </row>
    <row r="36" spans="1:27" x14ac:dyDescent="0.2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9127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1.88</v>
      </c>
      <c r="I36" s="5">
        <f>IF(ISNA(VLOOKUP(B36,Sheet1!A:B,2,0)),0,VLOOKUP(B36,Sheet1!A:B,2,0))</f>
        <v>1.87</v>
      </c>
      <c r="J36">
        <f t="shared" si="16"/>
        <v>-9.9999999999997868E-3</v>
      </c>
      <c r="K36" t="str">
        <f t="shared" si="19"/>
        <v>海康威视</v>
      </c>
      <c r="L36" t="str">
        <f t="shared" si="17"/>
        <v>sz002415</v>
      </c>
      <c r="M36" t="str">
        <f t="shared" si="20"/>
        <v>-3.64</v>
      </c>
      <c r="N36" s="3">
        <f t="shared" si="18"/>
        <v>-6.8431999999999993E-2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-9.9999999999997868E-3</v>
      </c>
      <c r="Z36" s="6" t="str">
        <f t="shared" si="4"/>
        <v>sz002415</v>
      </c>
      <c r="AA36" s="5">
        <f t="shared" si="21"/>
        <v>1.87</v>
      </c>
    </row>
    <row r="37" spans="1:27" x14ac:dyDescent="0.2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9112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1.24</v>
      </c>
      <c r="I37" s="5">
        <f>IF(ISNA(VLOOKUP(B37,Sheet1!A:B,2,0)),0,VLOOKUP(B37,Sheet1!A:B,2,0))</f>
        <v>1.24</v>
      </c>
      <c r="J37">
        <f t="shared" si="16"/>
        <v>0</v>
      </c>
      <c r="K37" t="str">
        <f t="shared" si="19"/>
        <v>华泰证券</v>
      </c>
      <c r="L37" t="str">
        <f t="shared" si="17"/>
        <v>sh601688</v>
      </c>
      <c r="M37" t="str">
        <f t="shared" si="20"/>
        <v>-3.67</v>
      </c>
      <c r="N37" s="3">
        <f t="shared" si="18"/>
        <v>-4.5508E-2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21"/>
        <v>1.24</v>
      </c>
    </row>
    <row r="38" spans="1:27" x14ac:dyDescent="0.2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9034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2.82</v>
      </c>
      <c r="I38" s="5">
        <f>IF(ISNA(VLOOKUP(B38,Sheet1!A:B,2,0)),0,VLOOKUP(B38,Sheet1!A:B,2,0))</f>
        <v>2.81</v>
      </c>
      <c r="J38">
        <f t="shared" si="16"/>
        <v>-9.9999999999997868E-3</v>
      </c>
      <c r="K38" t="str">
        <f t="shared" si="19"/>
        <v>工商银行</v>
      </c>
      <c r="L38" t="str">
        <f t="shared" si="17"/>
        <v>sh601398</v>
      </c>
      <c r="M38" t="str">
        <f t="shared" si="20"/>
        <v>-1.86</v>
      </c>
      <c r="N38" s="3">
        <f t="shared" si="18"/>
        <v>-5.2451999999999999E-2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-9.9999999999997868E-3</v>
      </c>
      <c r="Z38" s="6" t="str">
        <f t="shared" si="4"/>
        <v>sh601398</v>
      </c>
      <c r="AA38" s="5">
        <f t="shared" si="21"/>
        <v>2.81</v>
      </c>
    </row>
    <row r="39" spans="1:27" x14ac:dyDescent="0.2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9034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5.24</v>
      </c>
      <c r="I39" s="5">
        <f>IF(ISNA(VLOOKUP(B39,Sheet1!A:B,2,0)),0,VLOOKUP(B39,Sheet1!A:B,2,0))</f>
        <v>5.21</v>
      </c>
      <c r="J39">
        <f t="shared" si="16"/>
        <v>-3.0000000000000249E-2</v>
      </c>
      <c r="K39" t="e">
        <f t="shared" si="19"/>
        <v>#N/A</v>
      </c>
      <c r="L39" t="str">
        <f t="shared" si="17"/>
        <v>sh601166</v>
      </c>
      <c r="M39" t="e">
        <f t="shared" si="20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-3.0000000000000249E-2</v>
      </c>
      <c r="Z39" s="6" t="str">
        <f t="shared" si="4"/>
        <v>sh601166</v>
      </c>
      <c r="AA39" s="5">
        <f t="shared" si="21"/>
        <v>5.21</v>
      </c>
    </row>
    <row r="40" spans="1:27" x14ac:dyDescent="0.25">
      <c r="A40" t="str">
        <f t="shared" si="2"/>
        <v>600276</v>
      </c>
      <c r="B40" s="10" t="s">
        <v>9020</v>
      </c>
      <c r="C40" s="11" t="s">
        <v>9030</v>
      </c>
      <c r="D40" s="11" t="s">
        <v>9174</v>
      </c>
      <c r="E40" t="s">
        <v>9025</v>
      </c>
      <c r="F40" s="2" t="s">
        <v>9029</v>
      </c>
      <c r="G40" s="6" t="str">
        <f t="shared" ref="G40" si="22">E40&amp;F40</f>
        <v>sh600276</v>
      </c>
      <c r="H40" s="5">
        <v>1.51</v>
      </c>
      <c r="I40" s="5">
        <f>IF(ISNA(VLOOKUP(B40,Sheet1!A:B,2,0)),0,VLOOKUP(B40,Sheet1!A:B,2,0))</f>
        <v>1.52</v>
      </c>
      <c r="N40" s="3"/>
      <c r="Q40"/>
      <c r="R40" s="1"/>
      <c r="S40" s="1"/>
      <c r="T40" s="1"/>
      <c r="U40" s="1"/>
      <c r="V40" s="1"/>
      <c r="W40" s="1">
        <f t="shared" si="3"/>
        <v>1.0000000000000009E-2</v>
      </c>
      <c r="Z40" s="6" t="str">
        <f t="shared" ref="Z40" si="23">+G40</f>
        <v>sh600276</v>
      </c>
      <c r="AA40" s="5">
        <f t="shared" ref="AA40" si="24">I40</f>
        <v>1.52</v>
      </c>
    </row>
    <row r="41" spans="1:27" x14ac:dyDescent="0.2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9084</v>
      </c>
      <c r="E41" t="s">
        <v>8921</v>
      </c>
      <c r="F41" s="2" t="s">
        <v>8924</v>
      </c>
      <c r="G41" s="6" t="str">
        <f t="shared" si="0"/>
        <v>sz002304</v>
      </c>
      <c r="H41" s="5">
        <v>0.95</v>
      </c>
      <c r="I41" s="5">
        <f>IF(ISNA(VLOOKUP(B41,Sheet1!A:B,2,0)),0,VLOOKUP(B41,Sheet1!A:B,2,0))</f>
        <v>0.96</v>
      </c>
      <c r="J41">
        <f t="shared" si="16"/>
        <v>1.0000000000000009E-2</v>
      </c>
      <c r="K41" t="str">
        <f t="shared" ref="K41:K52" si="25">VLOOKUP(F41,Q:R,2,0)</f>
        <v>洋河股份</v>
      </c>
      <c r="L41" t="str">
        <f t="shared" si="17"/>
        <v>sz002304</v>
      </c>
      <c r="M41" t="str">
        <f t="shared" ref="M41:M52" si="26">VLOOKUP(F41,Q:T,4,0)</f>
        <v>-2.10</v>
      </c>
      <c r="N41" s="3">
        <f t="shared" si="18"/>
        <v>-1.9949999999999999E-2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7">I41-H41</f>
        <v>1.0000000000000009E-2</v>
      </c>
      <c r="Z41" s="6" t="str">
        <f t="shared" si="4"/>
        <v>sz002304</v>
      </c>
      <c r="AA41" s="5">
        <f t="shared" si="21"/>
        <v>0.96</v>
      </c>
    </row>
    <row r="42" spans="1:27" x14ac:dyDescent="0.2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9084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4.8499999999999996</v>
      </c>
      <c r="I42" s="5">
        <f>IF(ISNA(VLOOKUP(B42,Sheet1!A:B,2,0)),0,VLOOKUP(B42,Sheet1!A:B,2,0))</f>
        <v>4.8600000000000003</v>
      </c>
      <c r="J42">
        <f t="shared" si="16"/>
        <v>1.0000000000000675E-2</v>
      </c>
      <c r="K42" t="str">
        <f t="shared" si="25"/>
        <v>贵州茅台</v>
      </c>
      <c r="L42" t="str">
        <f t="shared" si="17"/>
        <v>sh600519</v>
      </c>
      <c r="M42" t="str">
        <f t="shared" si="26"/>
        <v>-2.84</v>
      </c>
      <c r="N42" s="3">
        <f t="shared" si="18"/>
        <v>-0.13774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7"/>
        <v>1.0000000000000675E-2</v>
      </c>
      <c r="Z42" s="6" t="str">
        <f t="shared" si="4"/>
        <v>sh600519</v>
      </c>
      <c r="AA42" s="5">
        <f t="shared" si="21"/>
        <v>4.8600000000000003</v>
      </c>
    </row>
    <row r="43" spans="1:27" x14ac:dyDescent="0.2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9118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3.25</v>
      </c>
      <c r="I43" s="5">
        <f>IF(ISNA(VLOOKUP(B43,Sheet1!A:B,2,0)),0,VLOOKUP(B43,Sheet1!A:B,2,0))</f>
        <v>3.35</v>
      </c>
      <c r="J43">
        <f t="shared" si="16"/>
        <v>0.10000000000000009</v>
      </c>
      <c r="K43" t="str">
        <f t="shared" si="25"/>
        <v>美的集团</v>
      </c>
      <c r="L43" t="str">
        <f t="shared" si="17"/>
        <v>sz000333</v>
      </c>
      <c r="M43" t="str">
        <f t="shared" si="26"/>
        <v>-4.09</v>
      </c>
      <c r="N43" s="3">
        <f t="shared" si="18"/>
        <v>-0.13292500000000002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7"/>
        <v>0.10000000000000009</v>
      </c>
      <c r="Z43" s="6" t="str">
        <f t="shared" si="4"/>
        <v>sz000333</v>
      </c>
      <c r="AA43" s="5">
        <f t="shared" si="21"/>
        <v>3.35</v>
      </c>
    </row>
    <row r="44" spans="1:27" x14ac:dyDescent="0.2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9077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0.72</v>
      </c>
      <c r="I44" s="5">
        <f>IF(ISNA(VLOOKUP(B44,Sheet1!A:B,2,0)),0,VLOOKUP(B44,Sheet1!A:B,2,0))</f>
        <v>0.7</v>
      </c>
      <c r="J44">
        <f t="shared" si="16"/>
        <v>-2.0000000000000018E-2</v>
      </c>
      <c r="K44" t="e">
        <f t="shared" si="25"/>
        <v>#N/A</v>
      </c>
      <c r="L44" t="str">
        <f t="shared" si="17"/>
        <v>sh601336</v>
      </c>
      <c r="M44" t="e">
        <f t="shared" si="26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7"/>
        <v>-2.0000000000000018E-2</v>
      </c>
      <c r="Z44" s="6" t="str">
        <f t="shared" si="4"/>
        <v>sh601336</v>
      </c>
      <c r="AA44" s="5">
        <f t="shared" si="21"/>
        <v>0.7</v>
      </c>
    </row>
    <row r="45" spans="1:27" x14ac:dyDescent="0.2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9070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0.71</v>
      </c>
      <c r="I45" s="5">
        <f>IF(ISNA(VLOOKUP(B45,Sheet1!A:B,2,0)),0,VLOOKUP(B45,Sheet1!A:B,2,0))</f>
        <v>0.71</v>
      </c>
      <c r="J45">
        <f t="shared" si="16"/>
        <v>0</v>
      </c>
      <c r="K45" t="str">
        <f t="shared" si="25"/>
        <v>中国石油</v>
      </c>
      <c r="L45" t="str">
        <f t="shared" si="17"/>
        <v>sh601857</v>
      </c>
      <c r="M45" t="str">
        <f t="shared" si="26"/>
        <v>-3.80</v>
      </c>
      <c r="N45" s="3">
        <f t="shared" si="18"/>
        <v>-2.6980000000000001E-2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7"/>
        <v>0</v>
      </c>
      <c r="Z45" s="6" t="str">
        <f t="shared" si="4"/>
        <v>sh601857</v>
      </c>
      <c r="AA45" s="5">
        <f t="shared" si="21"/>
        <v>0.71</v>
      </c>
    </row>
    <row r="46" spans="1:27" x14ac:dyDescent="0.2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9034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1.71</v>
      </c>
      <c r="J46">
        <f t="shared" si="16"/>
        <v>-1.0000000000000009E-2</v>
      </c>
      <c r="K46" t="str">
        <f t="shared" si="25"/>
        <v>平安银行</v>
      </c>
      <c r="L46" t="str">
        <f t="shared" si="17"/>
        <v>sz000001</v>
      </c>
      <c r="M46" t="str">
        <f t="shared" si="26"/>
        <v>-2.88</v>
      </c>
      <c r="N46" s="3">
        <f t="shared" si="18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7"/>
        <v>-1.0000000000000009E-2</v>
      </c>
      <c r="Z46" s="6" t="str">
        <f t="shared" si="4"/>
        <v>sz000001</v>
      </c>
      <c r="AA46" s="5">
        <f t="shared" si="21"/>
        <v>1.71</v>
      </c>
    </row>
    <row r="47" spans="1:27" x14ac:dyDescent="0.2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9077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10.77</v>
      </c>
      <c r="I47" s="5">
        <f>IF(ISNA(VLOOKUP(B47,Sheet1!A:B,2,0)),0,VLOOKUP(B47,Sheet1!A:B,2,0))</f>
        <v>10.68</v>
      </c>
      <c r="J47">
        <f t="shared" si="16"/>
        <v>-8.9999999999999858E-2</v>
      </c>
      <c r="K47" t="e">
        <f t="shared" si="25"/>
        <v>#N/A</v>
      </c>
      <c r="L47" t="str">
        <f t="shared" si="17"/>
        <v>sh601318</v>
      </c>
      <c r="M47" t="e">
        <f t="shared" si="26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7"/>
        <v>-8.9999999999999858E-2</v>
      </c>
      <c r="Z47" s="6" t="str">
        <f t="shared" si="4"/>
        <v>sh601318</v>
      </c>
      <c r="AA47" s="5">
        <f t="shared" si="21"/>
        <v>10.68</v>
      </c>
    </row>
    <row r="48" spans="1:27" x14ac:dyDescent="0.2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9098</v>
      </c>
      <c r="E48" t="s">
        <v>8931</v>
      </c>
      <c r="F48" s="2" t="s">
        <v>8934</v>
      </c>
      <c r="G48" s="6" t="str">
        <f t="shared" si="0"/>
        <v>sh600048</v>
      </c>
      <c r="H48" s="5">
        <v>1.34</v>
      </c>
      <c r="I48" s="5">
        <f>IF(ISNA(VLOOKUP(B48,Sheet1!A:B,2,0)),0,VLOOKUP(B48,Sheet1!A:B,2,0))</f>
        <v>1.36</v>
      </c>
      <c r="J48">
        <f t="shared" si="16"/>
        <v>2.0000000000000018E-2</v>
      </c>
      <c r="K48" t="str">
        <f t="shared" si="25"/>
        <v>保利地产</v>
      </c>
      <c r="L48" t="str">
        <f t="shared" si="17"/>
        <v>sh600048</v>
      </c>
      <c r="M48" t="str">
        <f t="shared" si="26"/>
        <v>-6.02</v>
      </c>
      <c r="N48" s="3">
        <f t="shared" si="18"/>
        <v>-8.0668000000000004E-2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7"/>
        <v>2.0000000000000018E-2</v>
      </c>
      <c r="Z48" s="6" t="str">
        <f t="shared" si="4"/>
        <v>sh600048</v>
      </c>
      <c r="AA48" s="5">
        <f t="shared" si="21"/>
        <v>1.36</v>
      </c>
    </row>
    <row r="49" spans="1:27" x14ac:dyDescent="0.2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9102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1.55</v>
      </c>
      <c r="I49" s="5">
        <f>IF(ISNA(VLOOKUP(B49,Sheet1!A:B,2,0)),0,VLOOKUP(B49,Sheet1!A:B,2,0))</f>
        <v>1.55</v>
      </c>
      <c r="J49">
        <f t="shared" si="16"/>
        <v>0</v>
      </c>
      <c r="K49" t="str">
        <f t="shared" si="25"/>
        <v>上汽集团</v>
      </c>
      <c r="L49" t="str">
        <f t="shared" si="17"/>
        <v>sh600104</v>
      </c>
      <c r="M49" t="str">
        <f t="shared" si="26"/>
        <v>-0.71</v>
      </c>
      <c r="N49" s="3">
        <f t="shared" si="18"/>
        <v>-1.1005000000000001E-2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7"/>
        <v>0</v>
      </c>
      <c r="Z49" s="6" t="str">
        <f t="shared" si="4"/>
        <v>sh600104</v>
      </c>
      <c r="AA49" s="5">
        <f t="shared" si="21"/>
        <v>1.55</v>
      </c>
    </row>
    <row r="50" spans="1:27" x14ac:dyDescent="0.2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9155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0.44</v>
      </c>
      <c r="J50">
        <f t="shared" si="16"/>
        <v>0</v>
      </c>
      <c r="K50" t="str">
        <f t="shared" si="25"/>
        <v>上港集团</v>
      </c>
      <c r="L50" t="str">
        <f t="shared" si="17"/>
        <v>sh600018</v>
      </c>
      <c r="M50" t="str">
        <f t="shared" si="26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7"/>
        <v>0</v>
      </c>
      <c r="Z50" s="6" t="str">
        <f t="shared" si="4"/>
        <v>sh600018</v>
      </c>
      <c r="AA50" s="5">
        <f t="shared" si="21"/>
        <v>0.44</v>
      </c>
    </row>
    <row r="51" spans="1:27" x14ac:dyDescent="0.2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9034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3.82</v>
      </c>
      <c r="I51" s="5">
        <f>IF(ISNA(VLOOKUP(B51,Sheet1!A:B,2,0)),0,VLOOKUP(B51,Sheet1!A:B,2,0))</f>
        <v>3.83</v>
      </c>
      <c r="J51">
        <f t="shared" si="16"/>
        <v>1.0000000000000231E-2</v>
      </c>
      <c r="K51" t="str">
        <f t="shared" si="25"/>
        <v>浦发银行</v>
      </c>
      <c r="L51" t="str">
        <f t="shared" si="17"/>
        <v>sh600000</v>
      </c>
      <c r="M51" t="str">
        <f t="shared" si="26"/>
        <v>-1.90</v>
      </c>
      <c r="N51" s="3">
        <f t="shared" si="18"/>
        <v>-7.2579999999999992E-2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7"/>
        <v>1.0000000000000231E-2</v>
      </c>
      <c r="Z51" s="6" t="str">
        <f t="shared" si="4"/>
        <v>sh600000</v>
      </c>
      <c r="AA51" s="5">
        <f t="shared" si="21"/>
        <v>3.83</v>
      </c>
    </row>
    <row r="52" spans="1:27" x14ac:dyDescent="0.2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9084</v>
      </c>
      <c r="E52" s="2" t="s">
        <v>8996</v>
      </c>
      <c r="F52" s="2" t="s">
        <v>8922</v>
      </c>
      <c r="G52" s="6" t="str">
        <f t="shared" ref="G52" si="28">E52&amp;F52</f>
        <v>sz000858</v>
      </c>
      <c r="H52" s="5">
        <v>2.11</v>
      </c>
      <c r="I52" s="5">
        <f>IF(ISNA(VLOOKUP(B52,Sheet1!A:B,2,0)),0,VLOOKUP(B52,Sheet1!A:B,2,0))</f>
        <v>2.11</v>
      </c>
      <c r="J52">
        <f t="shared" si="16"/>
        <v>0</v>
      </c>
      <c r="K52" t="str">
        <f t="shared" si="25"/>
        <v>五 粮 液</v>
      </c>
      <c r="L52" t="str">
        <f t="shared" si="17"/>
        <v>sz000858</v>
      </c>
      <c r="M52" t="str">
        <f t="shared" si="26"/>
        <v>-2.88</v>
      </c>
      <c r="N52" s="3">
        <f t="shared" si="18"/>
        <v>-6.0767999999999996E-2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7"/>
        <v>0</v>
      </c>
      <c r="Z52" s="6" t="str">
        <f t="shared" si="4"/>
        <v>sz000858</v>
      </c>
      <c r="AA52" s="5">
        <f t="shared" si="21"/>
        <v>2.11</v>
      </c>
    </row>
    <row r="55" spans="1:27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2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2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426720</xdr:colOff>
                    <xdr:row>2</xdr:row>
                    <xdr:rowOff>0</xdr:rowOff>
                  </from>
                  <to>
                    <xdr:col>29</xdr:col>
                    <xdr:colOff>213360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449580</xdr:colOff>
                    <xdr:row>2</xdr:row>
                    <xdr:rowOff>0</xdr:rowOff>
                  </from>
                  <to>
                    <xdr:col>29</xdr:col>
                    <xdr:colOff>259080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289560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518160</xdr:colOff>
                    <xdr:row>2</xdr:row>
                    <xdr:rowOff>68580</xdr:rowOff>
                  </from>
                  <to>
                    <xdr:col>29</xdr:col>
                    <xdr:colOff>182880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G2" sqref="G2"/>
    </sheetView>
  </sheetViews>
  <sheetFormatPr defaultRowHeight="14.4" x14ac:dyDescent="0.25"/>
  <cols>
    <col min="2" max="2" width="43.88671875" style="14" bestFit="1" customWidth="1"/>
    <col min="3" max="3" width="9" style="14"/>
    <col min="4" max="4" width="3.44140625" style="14" bestFit="1" customWidth="1"/>
    <col min="5" max="5" width="7.44140625" style="14" bestFit="1" customWidth="1"/>
    <col min="6" max="6" width="15" style="14" bestFit="1" customWidth="1"/>
  </cols>
  <sheetData>
    <row r="1" spans="1:16" x14ac:dyDescent="0.2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9035</v>
      </c>
      <c r="J1" t="s">
        <v>9036</v>
      </c>
      <c r="K1" t="s">
        <v>9037</v>
      </c>
      <c r="L1" t="s">
        <v>9038</v>
      </c>
      <c r="M1" t="s">
        <v>9039</v>
      </c>
      <c r="O1" s="11" t="s">
        <v>9074</v>
      </c>
      <c r="P1" t="str">
        <f>VLOOKUP(O1,$I$1:$K$974,3,0)</f>
        <v>银行</v>
      </c>
    </row>
    <row r="2" spans="1:16" x14ac:dyDescent="0.2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9040</v>
      </c>
      <c r="J2" t="s">
        <v>9041</v>
      </c>
      <c r="K2" t="s">
        <v>9037</v>
      </c>
      <c r="L2" t="s">
        <v>9042</v>
      </c>
      <c r="M2" t="s">
        <v>9039</v>
      </c>
      <c r="O2" s="11" t="s">
        <v>9133</v>
      </c>
      <c r="P2" t="str">
        <f t="shared" ref="P2:P50" si="0">VLOOKUP(O2,$I$1:$K$974,3,0)</f>
        <v>银行</v>
      </c>
    </row>
    <row r="3" spans="1:16" x14ac:dyDescent="0.2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9043</v>
      </c>
      <c r="J3" t="s">
        <v>9044</v>
      </c>
      <c r="K3" t="s">
        <v>9037</v>
      </c>
      <c r="L3" t="s">
        <v>9045</v>
      </c>
      <c r="M3" t="s">
        <v>9039</v>
      </c>
      <c r="O3" s="11" t="s">
        <v>8853</v>
      </c>
      <c r="P3" t="str">
        <f t="shared" si="0"/>
        <v>银行</v>
      </c>
    </row>
    <row r="4" spans="1:16" x14ac:dyDescent="0.2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9046</v>
      </c>
      <c r="J4" t="s">
        <v>9047</v>
      </c>
      <c r="K4" t="s">
        <v>9037</v>
      </c>
      <c r="L4" t="s">
        <v>9048</v>
      </c>
      <c r="M4" t="s">
        <v>9039</v>
      </c>
      <c r="O4" s="11" t="s">
        <v>8854</v>
      </c>
      <c r="P4" t="str">
        <f t="shared" si="0"/>
        <v>银行</v>
      </c>
    </row>
    <row r="5" spans="1:16" x14ac:dyDescent="0.2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9049</v>
      </c>
      <c r="J5" t="s">
        <v>9050</v>
      </c>
      <c r="K5" t="s">
        <v>9037</v>
      </c>
      <c r="L5" t="s">
        <v>9051</v>
      </c>
      <c r="M5" t="s">
        <v>9039</v>
      </c>
      <c r="O5" t="s">
        <v>10179</v>
      </c>
      <c r="P5" t="str">
        <f t="shared" si="0"/>
        <v>银行</v>
      </c>
    </row>
    <row r="6" spans="1:16" x14ac:dyDescent="0.2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9052</v>
      </c>
      <c r="J6" t="s">
        <v>9053</v>
      </c>
      <c r="K6" t="s">
        <v>9037</v>
      </c>
      <c r="L6" t="s">
        <v>9054</v>
      </c>
      <c r="M6" t="s">
        <v>9039</v>
      </c>
      <c r="O6" t="s">
        <v>9205</v>
      </c>
      <c r="P6" t="str">
        <f t="shared" si="0"/>
        <v>钢铁</v>
      </c>
    </row>
    <row r="7" spans="1:16" x14ac:dyDescent="0.2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9055</v>
      </c>
      <c r="J7" t="s">
        <v>9056</v>
      </c>
      <c r="K7" t="s">
        <v>9057</v>
      </c>
      <c r="L7" t="s">
        <v>9058</v>
      </c>
      <c r="M7" t="s">
        <v>9059</v>
      </c>
      <c r="O7" t="s">
        <v>9222</v>
      </c>
      <c r="P7" t="str">
        <f t="shared" si="0"/>
        <v>原件</v>
      </c>
    </row>
    <row r="8" spans="1:16" x14ac:dyDescent="0.2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9060</v>
      </c>
      <c r="J8" t="s">
        <v>9061</v>
      </c>
      <c r="K8" t="s">
        <v>9057</v>
      </c>
      <c r="L8" t="s">
        <v>9062</v>
      </c>
      <c r="M8" t="s">
        <v>9059</v>
      </c>
      <c r="O8" s="11" t="s">
        <v>8855</v>
      </c>
      <c r="P8" t="str">
        <f t="shared" si="0"/>
        <v>汽车</v>
      </c>
    </row>
    <row r="9" spans="1:16" x14ac:dyDescent="0.2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9063</v>
      </c>
      <c r="J9" t="s">
        <v>9064</v>
      </c>
      <c r="K9" t="s">
        <v>9065</v>
      </c>
      <c r="L9" t="s">
        <v>9066</v>
      </c>
      <c r="M9" t="s">
        <v>9067</v>
      </c>
      <c r="O9" s="11" t="s">
        <v>8856</v>
      </c>
      <c r="P9" t="str">
        <f t="shared" si="0"/>
        <v>银行</v>
      </c>
    </row>
    <row r="10" spans="1:16" x14ac:dyDescent="0.2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9034</v>
      </c>
      <c r="L10" t="s">
        <v>9068</v>
      </c>
      <c r="M10" t="s">
        <v>9069</v>
      </c>
      <c r="O10" s="11" t="s">
        <v>8857</v>
      </c>
      <c r="P10" t="str">
        <f t="shared" si="0"/>
        <v>工建</v>
      </c>
    </row>
    <row r="11" spans="1:16" x14ac:dyDescent="0.2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9070</v>
      </c>
      <c r="L11" t="s">
        <v>9071</v>
      </c>
      <c r="M11" t="s">
        <v>9072</v>
      </c>
      <c r="O11" s="11" t="s">
        <v>8858</v>
      </c>
      <c r="P11" t="str">
        <f t="shared" si="0"/>
        <v>银行</v>
      </c>
    </row>
    <row r="12" spans="1:16" x14ac:dyDescent="0.2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9034</v>
      </c>
      <c r="L12" t="s">
        <v>9073</v>
      </c>
      <c r="M12" t="s">
        <v>9069</v>
      </c>
      <c r="O12" s="11" t="s">
        <v>8859</v>
      </c>
      <c r="P12" t="str">
        <f t="shared" si="0"/>
        <v>银行</v>
      </c>
    </row>
    <row r="13" spans="1:16" x14ac:dyDescent="0.2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9074</v>
      </c>
      <c r="J13" t="s">
        <v>825</v>
      </c>
      <c r="K13" t="s">
        <v>9034</v>
      </c>
      <c r="L13" t="s">
        <v>9075</v>
      </c>
      <c r="M13" t="s">
        <v>9069</v>
      </c>
      <c r="O13" s="11" t="s">
        <v>8860</v>
      </c>
      <c r="P13" t="str">
        <f t="shared" si="0"/>
        <v>保险</v>
      </c>
    </row>
    <row r="14" spans="1:16" x14ac:dyDescent="0.2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9034</v>
      </c>
      <c r="L14" t="s">
        <v>9076</v>
      </c>
      <c r="M14" t="s">
        <v>9069</v>
      </c>
      <c r="O14" s="11" t="s">
        <v>8861</v>
      </c>
      <c r="P14" t="str">
        <f t="shared" si="0"/>
        <v>银行</v>
      </c>
    </row>
    <row r="15" spans="1:16" x14ac:dyDescent="0.2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9077</v>
      </c>
      <c r="L15" t="s">
        <v>9078</v>
      </c>
      <c r="M15" t="s">
        <v>9079</v>
      </c>
      <c r="O15" s="11" t="s">
        <v>9145</v>
      </c>
      <c r="P15" t="str">
        <f t="shared" si="0"/>
        <v>房产</v>
      </c>
    </row>
    <row r="16" spans="1:16" x14ac:dyDescent="0.2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9077</v>
      </c>
      <c r="L16" t="s">
        <v>9080</v>
      </c>
      <c r="M16" t="s">
        <v>9079</v>
      </c>
      <c r="O16" s="11" t="s">
        <v>8862</v>
      </c>
      <c r="P16" t="str">
        <f t="shared" si="0"/>
        <v>银行</v>
      </c>
    </row>
    <row r="17" spans="1:16" x14ac:dyDescent="0.2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9070</v>
      </c>
      <c r="L17" t="s">
        <v>9081</v>
      </c>
      <c r="M17" t="s">
        <v>9072</v>
      </c>
      <c r="O17" s="11" t="s">
        <v>8863</v>
      </c>
      <c r="P17" t="str">
        <f t="shared" si="0"/>
        <v>机械</v>
      </c>
    </row>
    <row r="18" spans="1:16" x14ac:dyDescent="0.2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9034</v>
      </c>
      <c r="L18" t="s">
        <v>9082</v>
      </c>
      <c r="M18" t="s">
        <v>9069</v>
      </c>
      <c r="O18" s="11" t="s">
        <v>8864</v>
      </c>
      <c r="P18" t="str">
        <f t="shared" si="0"/>
        <v>保险</v>
      </c>
    </row>
    <row r="19" spans="1:16" x14ac:dyDescent="0.2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9034</v>
      </c>
      <c r="L19" t="s">
        <v>9083</v>
      </c>
      <c r="M19" t="s">
        <v>9069</v>
      </c>
      <c r="O19" s="11" t="s">
        <v>8865</v>
      </c>
      <c r="P19" t="str">
        <f t="shared" si="0"/>
        <v>石油</v>
      </c>
    </row>
    <row r="20" spans="1:16" x14ac:dyDescent="0.2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9084</v>
      </c>
      <c r="L20" t="s">
        <v>9085</v>
      </c>
      <c r="M20" t="s">
        <v>9086</v>
      </c>
      <c r="O20" s="11" t="s">
        <v>8866</v>
      </c>
      <c r="P20" t="str">
        <f t="shared" si="0"/>
        <v>工建</v>
      </c>
    </row>
    <row r="21" spans="1:16" x14ac:dyDescent="0.2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9034</v>
      </c>
      <c r="L21" t="s">
        <v>9087</v>
      </c>
      <c r="M21" t="s">
        <v>9069</v>
      </c>
      <c r="O21" s="11" t="s">
        <v>8867</v>
      </c>
      <c r="P21" t="str">
        <f t="shared" si="0"/>
        <v>工建</v>
      </c>
    </row>
    <row r="22" spans="1:16" x14ac:dyDescent="0.2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9034</v>
      </c>
      <c r="L22" t="s">
        <v>9088</v>
      </c>
      <c r="M22" t="s">
        <v>9069</v>
      </c>
      <c r="O22" s="11" t="s">
        <v>8868</v>
      </c>
      <c r="P22" t="str">
        <f t="shared" si="0"/>
        <v>煤炭</v>
      </c>
    </row>
    <row r="23" spans="1:16" x14ac:dyDescent="0.2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9089</v>
      </c>
      <c r="L23" t="s">
        <v>9090</v>
      </c>
      <c r="M23" t="s">
        <v>9091</v>
      </c>
      <c r="O23" s="11" t="s">
        <v>8869</v>
      </c>
      <c r="P23" t="str">
        <f t="shared" si="0"/>
        <v>船舶</v>
      </c>
    </row>
    <row r="24" spans="1:16" x14ac:dyDescent="0.2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9034</v>
      </c>
      <c r="L24" t="s">
        <v>9092</v>
      </c>
      <c r="M24" t="s">
        <v>9069</v>
      </c>
      <c r="O24" s="11" t="s">
        <v>8870</v>
      </c>
      <c r="P24" t="str">
        <f t="shared" si="0"/>
        <v>工建</v>
      </c>
    </row>
    <row r="25" spans="1:16" x14ac:dyDescent="0.2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9034</v>
      </c>
      <c r="L25" t="s">
        <v>9093</v>
      </c>
      <c r="M25" t="s">
        <v>9069</v>
      </c>
      <c r="O25" t="s">
        <v>8871</v>
      </c>
      <c r="P25" t="str">
        <f t="shared" si="0"/>
        <v>电信</v>
      </c>
    </row>
    <row r="26" spans="1:16" x14ac:dyDescent="0.2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9094</v>
      </c>
      <c r="J26" t="s">
        <v>1185</v>
      </c>
      <c r="K26" t="s">
        <v>9095</v>
      </c>
      <c r="L26" t="s">
        <v>9096</v>
      </c>
      <c r="M26" t="s">
        <v>9095</v>
      </c>
      <c r="O26" s="11" t="s">
        <v>9094</v>
      </c>
      <c r="P26" t="str">
        <f t="shared" si="0"/>
        <v>电力</v>
      </c>
    </row>
    <row r="27" spans="1:16" x14ac:dyDescent="0.2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9097</v>
      </c>
      <c r="K27" t="s">
        <v>9098</v>
      </c>
      <c r="L27" t="s">
        <v>9099</v>
      </c>
      <c r="M27" t="s">
        <v>9100</v>
      </c>
      <c r="O27" s="11" t="s">
        <v>8873</v>
      </c>
      <c r="P27" t="str">
        <f t="shared" si="0"/>
        <v>券商</v>
      </c>
    </row>
    <row r="28" spans="1:16" x14ac:dyDescent="0.2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9077</v>
      </c>
      <c r="L28" t="s">
        <v>9101</v>
      </c>
      <c r="M28" t="s">
        <v>9079</v>
      </c>
      <c r="O28" s="11" t="s">
        <v>8874</v>
      </c>
      <c r="P28" t="str">
        <f t="shared" si="0"/>
        <v>交运</v>
      </c>
    </row>
    <row r="29" spans="1:16" x14ac:dyDescent="0.2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9102</v>
      </c>
      <c r="L29" t="s">
        <v>9103</v>
      </c>
      <c r="M29" t="s">
        <v>9104</v>
      </c>
      <c r="O29" s="11" t="s">
        <v>9135</v>
      </c>
      <c r="P29" t="str">
        <f t="shared" si="0"/>
        <v>信息</v>
      </c>
    </row>
    <row r="30" spans="1:16" x14ac:dyDescent="0.2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9105</v>
      </c>
      <c r="L30" t="s">
        <v>9106</v>
      </c>
      <c r="M30" t="s">
        <v>9107</v>
      </c>
      <c r="O30" s="11" t="s">
        <v>8876</v>
      </c>
      <c r="P30" t="str">
        <f t="shared" si="0"/>
        <v>券商</v>
      </c>
    </row>
    <row r="31" spans="1:16" x14ac:dyDescent="0.2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9108</v>
      </c>
      <c r="L31" t="s">
        <v>9109</v>
      </c>
      <c r="M31" t="s">
        <v>9110</v>
      </c>
      <c r="O31" s="11" t="s">
        <v>9130</v>
      </c>
      <c r="P31" t="str">
        <f t="shared" si="0"/>
        <v>汽车</v>
      </c>
    </row>
    <row r="32" spans="1:16" x14ac:dyDescent="0.2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9108</v>
      </c>
      <c r="L32" t="s">
        <v>9111</v>
      </c>
      <c r="M32" t="s">
        <v>9110</v>
      </c>
      <c r="O32" s="11" t="s">
        <v>8879</v>
      </c>
      <c r="P32" t="str">
        <f t="shared" si="0"/>
        <v>券商</v>
      </c>
    </row>
    <row r="33" spans="1:16" x14ac:dyDescent="0.2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9112</v>
      </c>
      <c r="L33" t="s">
        <v>9113</v>
      </c>
      <c r="M33" t="s">
        <v>9114</v>
      </c>
      <c r="O33" s="11" t="s">
        <v>8880</v>
      </c>
      <c r="P33" t="str">
        <f t="shared" si="0"/>
        <v>券商</v>
      </c>
    </row>
    <row r="34" spans="1:16" x14ac:dyDescent="0.2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9108</v>
      </c>
      <c r="L34" t="s">
        <v>9115</v>
      </c>
      <c r="M34" t="s">
        <v>9110</v>
      </c>
      <c r="O34" s="11" t="s">
        <v>8881</v>
      </c>
      <c r="P34" t="str">
        <f t="shared" si="0"/>
        <v>安防</v>
      </c>
    </row>
    <row r="35" spans="1:16" x14ac:dyDescent="0.2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9112</v>
      </c>
      <c r="L35" t="s">
        <v>9116</v>
      </c>
      <c r="M35" t="s">
        <v>9114</v>
      </c>
      <c r="O35" s="11" t="s">
        <v>8883</v>
      </c>
      <c r="P35" t="str">
        <f t="shared" si="0"/>
        <v>券商</v>
      </c>
    </row>
    <row r="36" spans="1:16" x14ac:dyDescent="0.2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9034</v>
      </c>
      <c r="L36" t="s">
        <v>9117</v>
      </c>
      <c r="M36" t="s">
        <v>9069</v>
      </c>
      <c r="O36" s="11" t="s">
        <v>8884</v>
      </c>
      <c r="P36" t="str">
        <f t="shared" si="0"/>
        <v>银行</v>
      </c>
    </row>
    <row r="37" spans="1:16" x14ac:dyDescent="0.2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9118</v>
      </c>
      <c r="L37" t="s">
        <v>9119</v>
      </c>
      <c r="M37" t="s">
        <v>9120</v>
      </c>
      <c r="O37" s="11" t="s">
        <v>8885</v>
      </c>
      <c r="P37" t="str">
        <f t="shared" si="0"/>
        <v>银行</v>
      </c>
    </row>
    <row r="38" spans="1:16" x14ac:dyDescent="0.2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9034</v>
      </c>
      <c r="L38" t="s">
        <v>9121</v>
      </c>
      <c r="M38" t="s">
        <v>9069</v>
      </c>
      <c r="O38" s="11" t="s">
        <v>9173</v>
      </c>
      <c r="P38" t="str">
        <f t="shared" si="0"/>
        <v>医药</v>
      </c>
    </row>
    <row r="39" spans="1:16" x14ac:dyDescent="0.2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9122</v>
      </c>
      <c r="J39" t="s">
        <v>964</v>
      </c>
      <c r="K39" t="s">
        <v>9123</v>
      </c>
      <c r="L39" t="s">
        <v>9124</v>
      </c>
      <c r="M39" t="s">
        <v>9125</v>
      </c>
      <c r="O39" s="11" t="s">
        <v>9185</v>
      </c>
      <c r="P39" t="str">
        <f t="shared" si="0"/>
        <v>酿酒</v>
      </c>
    </row>
    <row r="40" spans="1:16" x14ac:dyDescent="0.2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9102</v>
      </c>
      <c r="L40" t="s">
        <v>9126</v>
      </c>
      <c r="M40" t="s">
        <v>9104</v>
      </c>
      <c r="O40" s="11" t="s">
        <v>8887</v>
      </c>
      <c r="P40" t="str">
        <f t="shared" si="0"/>
        <v>酿酒</v>
      </c>
    </row>
    <row r="41" spans="1:16" x14ac:dyDescent="0.2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9127</v>
      </c>
      <c r="L41" t="s">
        <v>9128</v>
      </c>
      <c r="M41" t="s">
        <v>9129</v>
      </c>
      <c r="O41" s="11" t="s">
        <v>8888</v>
      </c>
      <c r="P41" t="str">
        <f t="shared" si="0"/>
        <v>家电</v>
      </c>
    </row>
    <row r="42" spans="1:16" x14ac:dyDescent="0.2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9130</v>
      </c>
      <c r="J42" t="s">
        <v>7151</v>
      </c>
      <c r="K42" t="s">
        <v>9102</v>
      </c>
      <c r="L42" t="s">
        <v>9131</v>
      </c>
      <c r="M42" t="s">
        <v>9104</v>
      </c>
      <c r="O42" s="11" t="s">
        <v>8889</v>
      </c>
      <c r="P42" t="str">
        <f t="shared" si="0"/>
        <v>保险</v>
      </c>
    </row>
    <row r="43" spans="1:16" x14ac:dyDescent="0.2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9112</v>
      </c>
      <c r="L43" t="s">
        <v>9132</v>
      </c>
      <c r="M43" t="s">
        <v>9114</v>
      </c>
      <c r="O43" s="11" t="s">
        <v>8890</v>
      </c>
      <c r="P43" t="str">
        <f t="shared" si="0"/>
        <v>石油</v>
      </c>
    </row>
    <row r="44" spans="1:16" x14ac:dyDescent="0.2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9133</v>
      </c>
      <c r="J44" t="s">
        <v>515</v>
      </c>
      <c r="K44" t="s">
        <v>9034</v>
      </c>
      <c r="L44" t="s">
        <v>9134</v>
      </c>
      <c r="M44" t="s">
        <v>9069</v>
      </c>
      <c r="O44" s="11" t="s">
        <v>8891</v>
      </c>
      <c r="P44" t="str">
        <f t="shared" si="0"/>
        <v>银行</v>
      </c>
    </row>
    <row r="45" spans="1:16" x14ac:dyDescent="0.2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9135</v>
      </c>
      <c r="J45" t="s">
        <v>9008</v>
      </c>
      <c r="K45" t="s">
        <v>9136</v>
      </c>
      <c r="L45" t="s">
        <v>9137</v>
      </c>
      <c r="M45" t="s">
        <v>9138</v>
      </c>
      <c r="O45" s="11" t="s">
        <v>8892</v>
      </c>
      <c r="P45" t="str">
        <f t="shared" si="0"/>
        <v>保险</v>
      </c>
    </row>
    <row r="46" spans="1:16" x14ac:dyDescent="0.2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9108</v>
      </c>
      <c r="L46" t="s">
        <v>9139</v>
      </c>
      <c r="M46" t="s">
        <v>9110</v>
      </c>
      <c r="O46" s="11" t="s">
        <v>9169</v>
      </c>
      <c r="P46" t="str">
        <f t="shared" si="0"/>
        <v>房产</v>
      </c>
    </row>
    <row r="47" spans="1:16" x14ac:dyDescent="0.2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9112</v>
      </c>
      <c r="L47" t="s">
        <v>9140</v>
      </c>
      <c r="M47" t="s">
        <v>9114</v>
      </c>
      <c r="O47" s="11" t="s">
        <v>8894</v>
      </c>
      <c r="P47" t="str">
        <f t="shared" si="0"/>
        <v>汽车</v>
      </c>
    </row>
    <row r="48" spans="1:16" x14ac:dyDescent="0.2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9112</v>
      </c>
      <c r="L48" t="s">
        <v>9141</v>
      </c>
      <c r="M48" t="s">
        <v>9114</v>
      </c>
      <c r="O48" s="11" t="s">
        <v>8896</v>
      </c>
      <c r="P48" t="str">
        <f t="shared" si="0"/>
        <v>港口</v>
      </c>
    </row>
    <row r="49" spans="1:16" x14ac:dyDescent="0.2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9118</v>
      </c>
      <c r="L49" t="s">
        <v>9142</v>
      </c>
      <c r="M49" t="s">
        <v>9120</v>
      </c>
      <c r="O49" s="11" t="s">
        <v>8897</v>
      </c>
      <c r="P49" t="str">
        <f t="shared" si="0"/>
        <v>银行</v>
      </c>
    </row>
    <row r="50" spans="1:16" x14ac:dyDescent="0.2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9143</v>
      </c>
      <c r="J50" t="s">
        <v>1309</v>
      </c>
      <c r="K50" t="s">
        <v>9084</v>
      </c>
      <c r="L50" t="s">
        <v>9144</v>
      </c>
      <c r="M50" t="s">
        <v>9086</v>
      </c>
      <c r="O50" s="11" t="s">
        <v>9143</v>
      </c>
      <c r="P50" t="str">
        <f t="shared" si="0"/>
        <v>酿酒</v>
      </c>
    </row>
    <row r="51" spans="1:16" x14ac:dyDescent="0.2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9145</v>
      </c>
      <c r="J51" t="s">
        <v>102</v>
      </c>
      <c r="K51" t="s">
        <v>9098</v>
      </c>
      <c r="L51" t="s">
        <v>9146</v>
      </c>
      <c r="M51" t="s">
        <v>9100</v>
      </c>
    </row>
    <row r="52" spans="1:16" x14ac:dyDescent="0.25">
      <c r="I52" t="s">
        <v>8876</v>
      </c>
      <c r="J52" t="s">
        <v>308</v>
      </c>
      <c r="K52" t="s">
        <v>9112</v>
      </c>
      <c r="L52" t="s">
        <v>9147</v>
      </c>
      <c r="M52" t="s">
        <v>9114</v>
      </c>
    </row>
    <row r="53" spans="1:16" x14ac:dyDescent="0.25">
      <c r="I53" t="s">
        <v>8889</v>
      </c>
      <c r="J53" t="s">
        <v>354</v>
      </c>
      <c r="K53" t="s">
        <v>9077</v>
      </c>
      <c r="L53" t="s">
        <v>9148</v>
      </c>
      <c r="M53" t="s">
        <v>9079</v>
      </c>
    </row>
    <row r="54" spans="1:16" x14ac:dyDescent="0.25">
      <c r="I54" t="s">
        <v>8899</v>
      </c>
      <c r="J54" t="s">
        <v>1939</v>
      </c>
      <c r="K54" t="s">
        <v>9112</v>
      </c>
      <c r="L54" t="s">
        <v>9149</v>
      </c>
      <c r="M54" t="s">
        <v>9114</v>
      </c>
    </row>
    <row r="55" spans="1:16" x14ac:dyDescent="0.25">
      <c r="I55" t="s">
        <v>9150</v>
      </c>
      <c r="J55" t="s">
        <v>1156</v>
      </c>
      <c r="K55" t="s">
        <v>9112</v>
      </c>
      <c r="L55" t="s">
        <v>9151</v>
      </c>
      <c r="M55" t="s">
        <v>9114</v>
      </c>
    </row>
    <row r="56" spans="1:16" x14ac:dyDescent="0.25">
      <c r="I56" t="s">
        <v>8869</v>
      </c>
      <c r="J56" t="s">
        <v>134</v>
      </c>
      <c r="K56" t="s">
        <v>9152</v>
      </c>
      <c r="L56" t="s">
        <v>9153</v>
      </c>
      <c r="M56" t="s">
        <v>9154</v>
      </c>
    </row>
    <row r="57" spans="1:16" x14ac:dyDescent="0.25">
      <c r="I57" t="s">
        <v>8896</v>
      </c>
      <c r="J57" t="s">
        <v>4562</v>
      </c>
      <c r="K57" t="s">
        <v>9155</v>
      </c>
      <c r="L57" t="s">
        <v>9156</v>
      </c>
      <c r="M57" t="s">
        <v>9157</v>
      </c>
    </row>
    <row r="58" spans="1:16" x14ac:dyDescent="0.25">
      <c r="I58" t="s">
        <v>9158</v>
      </c>
      <c r="J58" t="s">
        <v>9159</v>
      </c>
      <c r="K58" t="s">
        <v>9034</v>
      </c>
      <c r="L58" t="s">
        <v>9160</v>
      </c>
      <c r="M58" t="s">
        <v>9069</v>
      </c>
    </row>
    <row r="59" spans="1:16" x14ac:dyDescent="0.25">
      <c r="I59" t="s">
        <v>8895</v>
      </c>
      <c r="J59" t="s">
        <v>1450</v>
      </c>
      <c r="K59" t="s">
        <v>9161</v>
      </c>
      <c r="L59" t="s">
        <v>9162</v>
      </c>
      <c r="M59" t="s">
        <v>9163</v>
      </c>
    </row>
    <row r="60" spans="1:16" x14ac:dyDescent="0.25">
      <c r="I60" t="s">
        <v>9164</v>
      </c>
      <c r="J60" t="s">
        <v>2330</v>
      </c>
      <c r="K60" t="s">
        <v>9034</v>
      </c>
      <c r="L60" t="s">
        <v>9165</v>
      </c>
      <c r="M60" t="s">
        <v>9069</v>
      </c>
    </row>
    <row r="61" spans="1:16" x14ac:dyDescent="0.25">
      <c r="I61" t="s">
        <v>9166</v>
      </c>
      <c r="J61" t="s">
        <v>5933</v>
      </c>
      <c r="K61" t="s">
        <v>9098</v>
      </c>
      <c r="L61" t="s">
        <v>9167</v>
      </c>
      <c r="M61" t="s">
        <v>9100</v>
      </c>
    </row>
    <row r="62" spans="1:16" x14ac:dyDescent="0.25">
      <c r="I62" t="s">
        <v>8882</v>
      </c>
      <c r="J62" t="s">
        <v>5989</v>
      </c>
      <c r="K62" t="s">
        <v>9095</v>
      </c>
      <c r="L62" t="s">
        <v>9168</v>
      </c>
      <c r="M62" t="s">
        <v>9095</v>
      </c>
    </row>
    <row r="63" spans="1:16" x14ac:dyDescent="0.25">
      <c r="I63" t="s">
        <v>9169</v>
      </c>
      <c r="J63" t="s">
        <v>547</v>
      </c>
      <c r="K63" t="s">
        <v>9098</v>
      </c>
      <c r="L63" t="s">
        <v>9170</v>
      </c>
      <c r="M63" t="s">
        <v>9100</v>
      </c>
    </row>
    <row r="64" spans="1:16" x14ac:dyDescent="0.25">
      <c r="I64" t="s">
        <v>8871</v>
      </c>
      <c r="J64" t="s">
        <v>690</v>
      </c>
      <c r="K64" t="s">
        <v>9171</v>
      </c>
      <c r="L64" t="s">
        <v>9172</v>
      </c>
      <c r="M64" t="s">
        <v>9171</v>
      </c>
    </row>
    <row r="65" spans="9:13" x14ac:dyDescent="0.25">
      <c r="I65" t="s">
        <v>9173</v>
      </c>
      <c r="J65" t="s">
        <v>2706</v>
      </c>
      <c r="K65" t="s">
        <v>9174</v>
      </c>
      <c r="L65" t="s">
        <v>9175</v>
      </c>
      <c r="M65" t="s">
        <v>9176</v>
      </c>
    </row>
    <row r="66" spans="9:13" x14ac:dyDescent="0.25">
      <c r="I66" t="s">
        <v>8898</v>
      </c>
      <c r="J66" t="s">
        <v>3298</v>
      </c>
      <c r="K66" t="s">
        <v>9174</v>
      </c>
      <c r="L66" t="s">
        <v>9177</v>
      </c>
      <c r="M66" t="s">
        <v>9176</v>
      </c>
    </row>
    <row r="67" spans="9:13" x14ac:dyDescent="0.25">
      <c r="I67" t="s">
        <v>9178</v>
      </c>
      <c r="J67" t="s">
        <v>857</v>
      </c>
      <c r="K67" t="s">
        <v>9179</v>
      </c>
      <c r="L67" t="s">
        <v>9180</v>
      </c>
      <c r="M67" t="s">
        <v>9181</v>
      </c>
    </row>
    <row r="68" spans="9:13" x14ac:dyDescent="0.25">
      <c r="I68" t="s">
        <v>8863</v>
      </c>
      <c r="J68" t="s">
        <v>1044</v>
      </c>
      <c r="K68" t="s">
        <v>9182</v>
      </c>
      <c r="L68" t="s">
        <v>9183</v>
      </c>
      <c r="M68" t="s">
        <v>9184</v>
      </c>
    </row>
    <row r="69" spans="9:13" x14ac:dyDescent="0.25">
      <c r="I69" t="s">
        <v>9185</v>
      </c>
      <c r="J69" t="s">
        <v>6671</v>
      </c>
      <c r="K69" t="s">
        <v>9084</v>
      </c>
      <c r="L69" t="s">
        <v>9186</v>
      </c>
      <c r="M69" t="s">
        <v>9086</v>
      </c>
    </row>
    <row r="70" spans="9:13" x14ac:dyDescent="0.25">
      <c r="I70" t="s">
        <v>8900</v>
      </c>
      <c r="J70" t="s">
        <v>484</v>
      </c>
      <c r="K70" t="s">
        <v>9187</v>
      </c>
      <c r="L70" t="s">
        <v>9188</v>
      </c>
      <c r="M70" t="s">
        <v>9189</v>
      </c>
    </row>
    <row r="71" spans="9:13" x14ac:dyDescent="0.25">
      <c r="I71" t="s">
        <v>8875</v>
      </c>
      <c r="J71" t="s">
        <v>1371</v>
      </c>
      <c r="K71" t="s">
        <v>9190</v>
      </c>
      <c r="L71" t="s">
        <v>9191</v>
      </c>
      <c r="M71" t="s">
        <v>9192</v>
      </c>
    </row>
    <row r="72" spans="9:13" x14ac:dyDescent="0.25">
      <c r="I72" t="s">
        <v>9193</v>
      </c>
      <c r="J72" t="s">
        <v>1598</v>
      </c>
      <c r="K72" t="s">
        <v>9112</v>
      </c>
      <c r="L72" t="s">
        <v>9194</v>
      </c>
      <c r="M72" t="s">
        <v>9114</v>
      </c>
    </row>
    <row r="73" spans="9:13" x14ac:dyDescent="0.25">
      <c r="I73" t="s">
        <v>9195</v>
      </c>
      <c r="J73" t="s">
        <v>1800</v>
      </c>
      <c r="K73" t="s">
        <v>9196</v>
      </c>
      <c r="L73" t="s">
        <v>9197</v>
      </c>
      <c r="M73" t="s">
        <v>9198</v>
      </c>
    </row>
    <row r="74" spans="9:13" x14ac:dyDescent="0.25">
      <c r="I74" t="s">
        <v>9199</v>
      </c>
      <c r="J74" t="s">
        <v>5179</v>
      </c>
      <c r="K74" t="s">
        <v>9102</v>
      </c>
      <c r="L74" t="s">
        <v>9200</v>
      </c>
      <c r="M74" t="s">
        <v>9104</v>
      </c>
    </row>
    <row r="75" spans="9:13" x14ac:dyDescent="0.25">
      <c r="I75" t="s">
        <v>8893</v>
      </c>
      <c r="J75" t="s">
        <v>3195</v>
      </c>
      <c r="K75" t="s">
        <v>9108</v>
      </c>
      <c r="L75" t="s">
        <v>9201</v>
      </c>
      <c r="M75" t="s">
        <v>9110</v>
      </c>
    </row>
    <row r="76" spans="9:13" x14ac:dyDescent="0.25">
      <c r="I76" t="s">
        <v>9202</v>
      </c>
      <c r="J76" t="s">
        <v>9203</v>
      </c>
      <c r="K76" t="s">
        <v>9190</v>
      </c>
      <c r="L76" t="s">
        <v>9204</v>
      </c>
      <c r="M76" t="s">
        <v>9192</v>
      </c>
    </row>
    <row r="77" spans="9:13" x14ac:dyDescent="0.25">
      <c r="I77" t="s">
        <v>9205</v>
      </c>
      <c r="J77" t="s">
        <v>581</v>
      </c>
      <c r="K77" t="s">
        <v>9206</v>
      </c>
      <c r="L77" t="s">
        <v>9207</v>
      </c>
      <c r="M77" t="s">
        <v>9208</v>
      </c>
    </row>
    <row r="78" spans="9:13" x14ac:dyDescent="0.25">
      <c r="I78" t="s">
        <v>8886</v>
      </c>
      <c r="J78" t="s">
        <v>2409</v>
      </c>
      <c r="K78" t="s">
        <v>9206</v>
      </c>
      <c r="L78" t="s">
        <v>9209</v>
      </c>
      <c r="M78" t="s">
        <v>9208</v>
      </c>
    </row>
    <row r="79" spans="9:13" x14ac:dyDescent="0.25">
      <c r="I79" t="s">
        <v>9210</v>
      </c>
      <c r="J79" t="s">
        <v>786</v>
      </c>
      <c r="K79" t="s">
        <v>9196</v>
      </c>
      <c r="L79" t="s">
        <v>9211</v>
      </c>
      <c r="M79" t="s">
        <v>9198</v>
      </c>
    </row>
    <row r="80" spans="9:13" x14ac:dyDescent="0.25">
      <c r="I80" t="s">
        <v>9212</v>
      </c>
      <c r="J80" t="s">
        <v>2142</v>
      </c>
      <c r="K80" t="s">
        <v>9213</v>
      </c>
      <c r="L80" t="s">
        <v>9214</v>
      </c>
      <c r="M80" t="s">
        <v>9215</v>
      </c>
    </row>
    <row r="81" spans="9:13" x14ac:dyDescent="0.25">
      <c r="I81" t="s">
        <v>9216</v>
      </c>
      <c r="J81" t="s">
        <v>4136</v>
      </c>
      <c r="K81" t="s">
        <v>9089</v>
      </c>
      <c r="L81" t="s">
        <v>9217</v>
      </c>
      <c r="M81" t="s">
        <v>9091</v>
      </c>
    </row>
    <row r="82" spans="9:13" x14ac:dyDescent="0.25">
      <c r="I82" t="s">
        <v>9218</v>
      </c>
      <c r="J82" t="s">
        <v>8568</v>
      </c>
      <c r="K82" t="s">
        <v>9219</v>
      </c>
      <c r="L82" t="s">
        <v>9220</v>
      </c>
      <c r="M82" t="s">
        <v>9221</v>
      </c>
    </row>
    <row r="83" spans="9:13" x14ac:dyDescent="0.25">
      <c r="I83" t="s">
        <v>9222</v>
      </c>
      <c r="J83" t="s">
        <v>233</v>
      </c>
      <c r="K83" t="s">
        <v>9223</v>
      </c>
      <c r="L83" t="s">
        <v>9224</v>
      </c>
      <c r="M83" t="s">
        <v>9225</v>
      </c>
    </row>
    <row r="84" spans="9:13" x14ac:dyDescent="0.25">
      <c r="I84" t="s">
        <v>9226</v>
      </c>
      <c r="J84" t="s">
        <v>1455</v>
      </c>
      <c r="K84" t="s">
        <v>9174</v>
      </c>
      <c r="L84" t="s">
        <v>9227</v>
      </c>
      <c r="M84" t="s">
        <v>9176</v>
      </c>
    </row>
    <row r="85" spans="9:13" x14ac:dyDescent="0.25">
      <c r="I85" t="s">
        <v>9228</v>
      </c>
      <c r="J85" t="s">
        <v>7698</v>
      </c>
      <c r="K85" t="s">
        <v>9179</v>
      </c>
      <c r="L85" t="s">
        <v>9229</v>
      </c>
      <c r="M85" t="s">
        <v>9181</v>
      </c>
    </row>
    <row r="86" spans="9:13" x14ac:dyDescent="0.25">
      <c r="I86" t="s">
        <v>9230</v>
      </c>
      <c r="J86" t="s">
        <v>1702</v>
      </c>
      <c r="K86" t="s">
        <v>9231</v>
      </c>
      <c r="L86" t="s">
        <v>9232</v>
      </c>
      <c r="M86" t="s">
        <v>9233</v>
      </c>
    </row>
    <row r="87" spans="9:13" x14ac:dyDescent="0.25">
      <c r="I87" t="s">
        <v>9234</v>
      </c>
      <c r="J87" t="s">
        <v>9235</v>
      </c>
      <c r="K87" t="s">
        <v>9112</v>
      </c>
      <c r="L87" t="s">
        <v>9236</v>
      </c>
      <c r="M87" t="s">
        <v>9114</v>
      </c>
    </row>
    <row r="88" spans="9:13" x14ac:dyDescent="0.25">
      <c r="I88" t="s">
        <v>9237</v>
      </c>
      <c r="J88" t="s">
        <v>2430</v>
      </c>
      <c r="K88" t="s">
        <v>9098</v>
      </c>
      <c r="L88" t="s">
        <v>9238</v>
      </c>
      <c r="M88" t="s">
        <v>9100</v>
      </c>
    </row>
    <row r="89" spans="9:13" x14ac:dyDescent="0.25">
      <c r="I89" t="s">
        <v>9239</v>
      </c>
      <c r="J89" t="s">
        <v>1459</v>
      </c>
      <c r="K89" t="s">
        <v>9108</v>
      </c>
      <c r="L89" t="s">
        <v>9240</v>
      </c>
      <c r="M89" t="s">
        <v>9110</v>
      </c>
    </row>
    <row r="90" spans="9:13" x14ac:dyDescent="0.25">
      <c r="I90" t="s">
        <v>9241</v>
      </c>
      <c r="J90" t="s">
        <v>1161</v>
      </c>
      <c r="K90" t="s">
        <v>9098</v>
      </c>
      <c r="L90" t="s">
        <v>9242</v>
      </c>
      <c r="M90" t="s">
        <v>9100</v>
      </c>
    </row>
    <row r="91" spans="9:13" x14ac:dyDescent="0.25">
      <c r="I91" t="s">
        <v>9243</v>
      </c>
      <c r="J91" t="s">
        <v>1175</v>
      </c>
      <c r="K91" t="s">
        <v>9219</v>
      </c>
      <c r="L91" t="s">
        <v>9244</v>
      </c>
      <c r="M91" t="s">
        <v>9221</v>
      </c>
    </row>
    <row r="92" spans="9:13" x14ac:dyDescent="0.25">
      <c r="I92" t="s">
        <v>9245</v>
      </c>
      <c r="J92" t="s">
        <v>659</v>
      </c>
      <c r="K92" t="s">
        <v>9112</v>
      </c>
      <c r="L92" t="s">
        <v>9246</v>
      </c>
      <c r="M92" t="s">
        <v>9114</v>
      </c>
    </row>
    <row r="93" spans="9:13" x14ac:dyDescent="0.25">
      <c r="I93" t="s">
        <v>9247</v>
      </c>
      <c r="J93" t="s">
        <v>1577</v>
      </c>
      <c r="K93" t="s">
        <v>9102</v>
      </c>
      <c r="L93" t="s">
        <v>9248</v>
      </c>
      <c r="M93" t="s">
        <v>9104</v>
      </c>
    </row>
    <row r="94" spans="9:13" x14ac:dyDescent="0.25">
      <c r="I94" t="s">
        <v>9249</v>
      </c>
      <c r="J94" t="s">
        <v>5444</v>
      </c>
      <c r="K94" t="s">
        <v>9179</v>
      </c>
      <c r="L94" t="s">
        <v>9250</v>
      </c>
      <c r="M94" t="s">
        <v>9181</v>
      </c>
    </row>
    <row r="95" spans="9:13" x14ac:dyDescent="0.25">
      <c r="I95" t="s">
        <v>9251</v>
      </c>
      <c r="J95" t="s">
        <v>1694</v>
      </c>
      <c r="K95" t="s">
        <v>9252</v>
      </c>
      <c r="L95" t="s">
        <v>9253</v>
      </c>
      <c r="M95" t="s">
        <v>9254</v>
      </c>
    </row>
    <row r="96" spans="9:13" x14ac:dyDescent="0.25">
      <c r="I96" t="s">
        <v>8901</v>
      </c>
      <c r="J96" t="s">
        <v>3343</v>
      </c>
      <c r="K96" t="s">
        <v>9095</v>
      </c>
      <c r="L96" t="s">
        <v>9255</v>
      </c>
      <c r="M96" t="s">
        <v>9095</v>
      </c>
    </row>
    <row r="97" spans="9:13" x14ac:dyDescent="0.25">
      <c r="I97" t="s">
        <v>9256</v>
      </c>
      <c r="J97" t="s">
        <v>1836</v>
      </c>
      <c r="K97" t="s">
        <v>9174</v>
      </c>
      <c r="L97" t="s">
        <v>9257</v>
      </c>
      <c r="M97" t="s">
        <v>9176</v>
      </c>
    </row>
    <row r="98" spans="9:13" x14ac:dyDescent="0.25">
      <c r="I98" t="s">
        <v>9258</v>
      </c>
      <c r="J98" t="s">
        <v>14</v>
      </c>
      <c r="K98" t="s">
        <v>9136</v>
      </c>
      <c r="L98" t="s">
        <v>9259</v>
      </c>
      <c r="M98" t="s">
        <v>9138</v>
      </c>
    </row>
    <row r="99" spans="9:13" x14ac:dyDescent="0.25">
      <c r="I99" t="s">
        <v>9260</v>
      </c>
      <c r="J99" t="s">
        <v>1862</v>
      </c>
      <c r="K99" t="s">
        <v>9252</v>
      </c>
      <c r="L99" t="s">
        <v>9261</v>
      </c>
      <c r="M99" t="s">
        <v>9254</v>
      </c>
    </row>
    <row r="100" spans="9:13" x14ac:dyDescent="0.25">
      <c r="I100" t="s">
        <v>9262</v>
      </c>
      <c r="J100" t="s">
        <v>599</v>
      </c>
      <c r="K100" t="s">
        <v>9196</v>
      </c>
      <c r="L100" t="s">
        <v>9263</v>
      </c>
      <c r="M100" t="s">
        <v>9198</v>
      </c>
    </row>
    <row r="101" spans="9:13" x14ac:dyDescent="0.25">
      <c r="I101" t="s">
        <v>9264</v>
      </c>
      <c r="J101" t="s">
        <v>8362</v>
      </c>
      <c r="K101" t="s">
        <v>9155</v>
      </c>
      <c r="L101" t="s">
        <v>9265</v>
      </c>
      <c r="M101" t="s">
        <v>9157</v>
      </c>
    </row>
    <row r="102" spans="9:13" x14ac:dyDescent="0.25">
      <c r="I102" t="s">
        <v>9266</v>
      </c>
      <c r="J102" t="s">
        <v>178</v>
      </c>
      <c r="K102" t="s">
        <v>9267</v>
      </c>
      <c r="L102" t="s">
        <v>9268</v>
      </c>
      <c r="M102" t="s">
        <v>9269</v>
      </c>
    </row>
    <row r="103" spans="9:13" x14ac:dyDescent="0.25">
      <c r="I103" t="s">
        <v>9270</v>
      </c>
      <c r="J103" t="s">
        <v>46</v>
      </c>
      <c r="K103" t="s">
        <v>9112</v>
      </c>
      <c r="L103" t="s">
        <v>9271</v>
      </c>
      <c r="M103" t="s">
        <v>9114</v>
      </c>
    </row>
    <row r="104" spans="9:13" x14ac:dyDescent="0.25">
      <c r="I104" t="s">
        <v>9272</v>
      </c>
      <c r="J104" t="s">
        <v>3359</v>
      </c>
      <c r="K104" t="s">
        <v>9223</v>
      </c>
      <c r="L104" t="s">
        <v>9273</v>
      </c>
      <c r="M104" t="s">
        <v>9225</v>
      </c>
    </row>
    <row r="105" spans="9:13" x14ac:dyDescent="0.25">
      <c r="I105" t="s">
        <v>9274</v>
      </c>
      <c r="J105" t="s">
        <v>1539</v>
      </c>
      <c r="K105" t="s">
        <v>9034</v>
      </c>
      <c r="L105" t="s">
        <v>9275</v>
      </c>
      <c r="M105" t="s">
        <v>9069</v>
      </c>
    </row>
    <row r="106" spans="9:13" x14ac:dyDescent="0.25">
      <c r="I106" t="s">
        <v>9276</v>
      </c>
      <c r="J106" t="s">
        <v>3692</v>
      </c>
      <c r="K106" t="s">
        <v>9089</v>
      </c>
      <c r="L106" t="s">
        <v>9277</v>
      </c>
      <c r="M106" t="s">
        <v>9091</v>
      </c>
    </row>
    <row r="107" spans="9:13" x14ac:dyDescent="0.25">
      <c r="I107" t="s">
        <v>9278</v>
      </c>
      <c r="J107" t="s">
        <v>9279</v>
      </c>
      <c r="K107" t="s">
        <v>9280</v>
      </c>
      <c r="L107" t="s">
        <v>9281</v>
      </c>
      <c r="M107" t="s">
        <v>9282</v>
      </c>
    </row>
    <row r="108" spans="9:13" x14ac:dyDescent="0.25">
      <c r="I108" t="s">
        <v>9283</v>
      </c>
      <c r="J108" t="s">
        <v>2260</v>
      </c>
      <c r="K108" t="s">
        <v>9284</v>
      </c>
      <c r="L108" t="s">
        <v>9285</v>
      </c>
      <c r="M108" t="s">
        <v>9286</v>
      </c>
    </row>
    <row r="109" spans="9:13" x14ac:dyDescent="0.25">
      <c r="I109" t="s">
        <v>9287</v>
      </c>
      <c r="J109" t="s">
        <v>1204</v>
      </c>
      <c r="K109" t="s">
        <v>9288</v>
      </c>
      <c r="L109" t="s">
        <v>9289</v>
      </c>
      <c r="M109" t="s">
        <v>9290</v>
      </c>
    </row>
    <row r="110" spans="9:13" x14ac:dyDescent="0.25">
      <c r="I110" t="s">
        <v>9291</v>
      </c>
      <c r="J110" t="s">
        <v>62</v>
      </c>
      <c r="K110" t="s">
        <v>9112</v>
      </c>
      <c r="L110" t="s">
        <v>9292</v>
      </c>
      <c r="M110" t="s">
        <v>9114</v>
      </c>
    </row>
    <row r="111" spans="9:13" x14ac:dyDescent="0.25">
      <c r="I111" t="s">
        <v>9293</v>
      </c>
      <c r="J111" t="s">
        <v>959</v>
      </c>
      <c r="K111" t="s">
        <v>9136</v>
      </c>
      <c r="L111" t="s">
        <v>9294</v>
      </c>
      <c r="M111" t="s">
        <v>9138</v>
      </c>
    </row>
    <row r="112" spans="9:13" x14ac:dyDescent="0.25">
      <c r="I112" t="s">
        <v>9295</v>
      </c>
      <c r="J112" t="s">
        <v>2646</v>
      </c>
      <c r="K112" t="s">
        <v>9070</v>
      </c>
      <c r="L112" t="s">
        <v>9296</v>
      </c>
      <c r="M112" t="s">
        <v>9072</v>
      </c>
    </row>
    <row r="113" spans="9:13" x14ac:dyDescent="0.25">
      <c r="I113" t="s">
        <v>9297</v>
      </c>
      <c r="J113" t="s">
        <v>928</v>
      </c>
      <c r="K113" t="s">
        <v>9034</v>
      </c>
      <c r="L113" t="s">
        <v>9298</v>
      </c>
      <c r="M113" t="s">
        <v>9069</v>
      </c>
    </row>
    <row r="114" spans="9:13" x14ac:dyDescent="0.25">
      <c r="I114" t="s">
        <v>9299</v>
      </c>
      <c r="J114" t="s">
        <v>1434</v>
      </c>
      <c r="K114" t="s">
        <v>9219</v>
      </c>
      <c r="L114" t="s">
        <v>9300</v>
      </c>
      <c r="M114" t="s">
        <v>9221</v>
      </c>
    </row>
    <row r="115" spans="9:13" x14ac:dyDescent="0.25">
      <c r="I115" t="s">
        <v>9301</v>
      </c>
      <c r="J115" t="s">
        <v>6435</v>
      </c>
      <c r="K115" t="s">
        <v>9089</v>
      </c>
      <c r="L115" t="s">
        <v>9302</v>
      </c>
      <c r="M115" t="s">
        <v>9091</v>
      </c>
    </row>
    <row r="116" spans="9:13" x14ac:dyDescent="0.25">
      <c r="I116" t="s">
        <v>9303</v>
      </c>
      <c r="J116" t="s">
        <v>8666</v>
      </c>
      <c r="K116" t="s">
        <v>9304</v>
      </c>
      <c r="L116" t="s">
        <v>9305</v>
      </c>
      <c r="M116" t="s">
        <v>9306</v>
      </c>
    </row>
    <row r="117" spans="9:13" x14ac:dyDescent="0.25">
      <c r="I117" t="s">
        <v>9307</v>
      </c>
      <c r="J117" t="s">
        <v>8416</v>
      </c>
      <c r="K117" t="s">
        <v>9118</v>
      </c>
      <c r="L117" t="s">
        <v>9308</v>
      </c>
      <c r="M117" t="s">
        <v>9120</v>
      </c>
    </row>
    <row r="118" spans="9:13" x14ac:dyDescent="0.25">
      <c r="I118" t="s">
        <v>9309</v>
      </c>
      <c r="J118" t="s">
        <v>815</v>
      </c>
      <c r="K118" t="s">
        <v>9112</v>
      </c>
      <c r="L118" t="s">
        <v>9310</v>
      </c>
      <c r="M118" t="s">
        <v>9114</v>
      </c>
    </row>
    <row r="119" spans="9:13" x14ac:dyDescent="0.25">
      <c r="I119" t="s">
        <v>9311</v>
      </c>
      <c r="J119" t="s">
        <v>736</v>
      </c>
      <c r="K119" t="s">
        <v>9267</v>
      </c>
      <c r="L119" t="s">
        <v>9312</v>
      </c>
      <c r="M119" t="s">
        <v>9269</v>
      </c>
    </row>
    <row r="120" spans="9:13" x14ac:dyDescent="0.25">
      <c r="I120" t="s">
        <v>9313</v>
      </c>
      <c r="J120" t="s">
        <v>1143</v>
      </c>
      <c r="K120" t="s">
        <v>9112</v>
      </c>
      <c r="L120" t="s">
        <v>9314</v>
      </c>
      <c r="M120" t="s">
        <v>9114</v>
      </c>
    </row>
    <row r="121" spans="9:13" x14ac:dyDescent="0.25">
      <c r="I121" t="s">
        <v>9315</v>
      </c>
      <c r="J121" t="s">
        <v>903</v>
      </c>
      <c r="K121" t="s">
        <v>9316</v>
      </c>
      <c r="L121" t="s">
        <v>9317</v>
      </c>
      <c r="M121" t="s">
        <v>9318</v>
      </c>
    </row>
    <row r="122" spans="9:13" x14ac:dyDescent="0.25">
      <c r="I122" t="s">
        <v>9319</v>
      </c>
      <c r="J122" t="s">
        <v>1305</v>
      </c>
      <c r="K122" t="s">
        <v>9112</v>
      </c>
      <c r="L122" t="s">
        <v>9320</v>
      </c>
      <c r="M122" t="s">
        <v>9114</v>
      </c>
    </row>
    <row r="123" spans="9:13" x14ac:dyDescent="0.25">
      <c r="I123" t="s">
        <v>9321</v>
      </c>
      <c r="J123" t="s">
        <v>9322</v>
      </c>
      <c r="K123" t="s">
        <v>9034</v>
      </c>
      <c r="L123" t="s">
        <v>9323</v>
      </c>
      <c r="M123" t="s">
        <v>9069</v>
      </c>
    </row>
    <row r="124" spans="9:13" x14ac:dyDescent="0.25">
      <c r="I124" t="s">
        <v>9324</v>
      </c>
      <c r="J124" t="s">
        <v>1670</v>
      </c>
      <c r="K124" t="s">
        <v>9095</v>
      </c>
      <c r="L124" t="s">
        <v>9325</v>
      </c>
      <c r="M124" t="s">
        <v>9095</v>
      </c>
    </row>
    <row r="125" spans="9:13" x14ac:dyDescent="0.25">
      <c r="I125" t="s">
        <v>9326</v>
      </c>
      <c r="J125" t="s">
        <v>1285</v>
      </c>
      <c r="K125" t="s">
        <v>9284</v>
      </c>
      <c r="L125" t="s">
        <v>9327</v>
      </c>
      <c r="M125" t="s">
        <v>9286</v>
      </c>
    </row>
    <row r="126" spans="9:13" x14ac:dyDescent="0.25">
      <c r="I126" t="s">
        <v>9328</v>
      </c>
      <c r="J126" t="s">
        <v>5621</v>
      </c>
      <c r="K126" t="s">
        <v>9070</v>
      </c>
      <c r="L126" t="s">
        <v>9329</v>
      </c>
      <c r="M126" t="s">
        <v>9072</v>
      </c>
    </row>
    <row r="127" spans="9:13" x14ac:dyDescent="0.25">
      <c r="I127" t="s">
        <v>9330</v>
      </c>
      <c r="J127" t="s">
        <v>1850</v>
      </c>
      <c r="K127" t="s">
        <v>9331</v>
      </c>
      <c r="L127" t="s">
        <v>9332</v>
      </c>
      <c r="M127" t="s">
        <v>9333</v>
      </c>
    </row>
    <row r="128" spans="9:13" x14ac:dyDescent="0.25">
      <c r="I128" t="s">
        <v>9334</v>
      </c>
      <c r="J128" t="s">
        <v>9335</v>
      </c>
      <c r="K128" t="s">
        <v>9304</v>
      </c>
      <c r="L128" t="s">
        <v>9336</v>
      </c>
      <c r="M128" t="s">
        <v>9306</v>
      </c>
    </row>
    <row r="129" spans="9:13" x14ac:dyDescent="0.25">
      <c r="I129" t="s">
        <v>9337</v>
      </c>
      <c r="J129" t="s">
        <v>1984</v>
      </c>
      <c r="K129" t="s">
        <v>9098</v>
      </c>
      <c r="L129" t="s">
        <v>9338</v>
      </c>
      <c r="M129" t="s">
        <v>9100</v>
      </c>
    </row>
    <row r="130" spans="9:13" x14ac:dyDescent="0.25">
      <c r="I130" t="s">
        <v>9339</v>
      </c>
      <c r="J130" t="s">
        <v>9340</v>
      </c>
      <c r="K130" t="s">
        <v>9187</v>
      </c>
      <c r="L130" t="s">
        <v>9341</v>
      </c>
      <c r="M130" t="s">
        <v>9189</v>
      </c>
    </row>
    <row r="131" spans="9:13" x14ac:dyDescent="0.25">
      <c r="I131" t="s">
        <v>9342</v>
      </c>
      <c r="J131" t="s">
        <v>5796</v>
      </c>
      <c r="K131" t="s">
        <v>9070</v>
      </c>
      <c r="L131" t="s">
        <v>9343</v>
      </c>
      <c r="M131" t="s">
        <v>9072</v>
      </c>
    </row>
    <row r="132" spans="9:13" x14ac:dyDescent="0.25">
      <c r="I132" t="s">
        <v>9344</v>
      </c>
      <c r="J132" t="s">
        <v>5764</v>
      </c>
      <c r="K132" t="s">
        <v>9304</v>
      </c>
      <c r="L132" t="s">
        <v>9345</v>
      </c>
      <c r="M132" t="s">
        <v>9306</v>
      </c>
    </row>
    <row r="133" spans="9:13" x14ac:dyDescent="0.25">
      <c r="I133" t="s">
        <v>9346</v>
      </c>
      <c r="J133" t="s">
        <v>285</v>
      </c>
      <c r="K133" t="s">
        <v>9098</v>
      </c>
      <c r="L133" t="s">
        <v>9347</v>
      </c>
      <c r="M133" t="s">
        <v>9100</v>
      </c>
    </row>
    <row r="134" spans="9:13" x14ac:dyDescent="0.25">
      <c r="I134" t="s">
        <v>9348</v>
      </c>
      <c r="J134" t="s">
        <v>3170</v>
      </c>
      <c r="K134" t="s">
        <v>9174</v>
      </c>
      <c r="L134" t="s">
        <v>9349</v>
      </c>
      <c r="M134" t="s">
        <v>9176</v>
      </c>
    </row>
    <row r="135" spans="9:13" x14ac:dyDescent="0.25">
      <c r="I135" t="s">
        <v>9350</v>
      </c>
      <c r="J135" t="s">
        <v>9351</v>
      </c>
      <c r="K135" t="s">
        <v>9155</v>
      </c>
      <c r="L135" t="s">
        <v>9352</v>
      </c>
      <c r="M135" t="s">
        <v>9157</v>
      </c>
    </row>
    <row r="136" spans="9:13" x14ac:dyDescent="0.25">
      <c r="I136" t="s">
        <v>9353</v>
      </c>
      <c r="J136" t="s">
        <v>1793</v>
      </c>
      <c r="K136" t="s">
        <v>9196</v>
      </c>
      <c r="L136" t="s">
        <v>9354</v>
      </c>
      <c r="M136" t="s">
        <v>9198</v>
      </c>
    </row>
    <row r="137" spans="9:13" x14ac:dyDescent="0.25">
      <c r="I137" t="s">
        <v>9355</v>
      </c>
      <c r="J137" t="s">
        <v>225</v>
      </c>
      <c r="K137" t="s">
        <v>9098</v>
      </c>
      <c r="L137" t="s">
        <v>9356</v>
      </c>
      <c r="M137" t="s">
        <v>9100</v>
      </c>
    </row>
    <row r="138" spans="9:13" x14ac:dyDescent="0.25">
      <c r="I138" t="s">
        <v>9357</v>
      </c>
      <c r="J138" t="s">
        <v>6056</v>
      </c>
      <c r="K138" t="s">
        <v>9098</v>
      </c>
      <c r="L138" t="s">
        <v>9358</v>
      </c>
      <c r="M138" t="s">
        <v>9100</v>
      </c>
    </row>
    <row r="139" spans="9:13" x14ac:dyDescent="0.25">
      <c r="I139" t="s">
        <v>9359</v>
      </c>
      <c r="J139" t="s">
        <v>9360</v>
      </c>
      <c r="K139" t="s">
        <v>9219</v>
      </c>
      <c r="L139" t="s">
        <v>9361</v>
      </c>
      <c r="M139" t="s">
        <v>9221</v>
      </c>
    </row>
    <row r="140" spans="9:13" x14ac:dyDescent="0.25">
      <c r="I140" t="s">
        <v>9362</v>
      </c>
      <c r="J140" t="s">
        <v>422</v>
      </c>
      <c r="K140" t="s">
        <v>9288</v>
      </c>
      <c r="L140" t="s">
        <v>9363</v>
      </c>
      <c r="M140" t="s">
        <v>9290</v>
      </c>
    </row>
    <row r="141" spans="9:13" x14ac:dyDescent="0.25">
      <c r="I141" t="s">
        <v>9364</v>
      </c>
      <c r="J141" t="s">
        <v>4692</v>
      </c>
      <c r="K141" t="s">
        <v>9174</v>
      </c>
      <c r="L141" t="s">
        <v>9365</v>
      </c>
      <c r="M141" t="s">
        <v>9176</v>
      </c>
    </row>
    <row r="142" spans="9:13" x14ac:dyDescent="0.25">
      <c r="I142" t="s">
        <v>9366</v>
      </c>
      <c r="J142" t="s">
        <v>4391</v>
      </c>
      <c r="K142" t="s">
        <v>9196</v>
      </c>
      <c r="L142" t="s">
        <v>9367</v>
      </c>
      <c r="M142" t="s">
        <v>9198</v>
      </c>
    </row>
    <row r="143" spans="9:13" x14ac:dyDescent="0.25">
      <c r="I143" t="s">
        <v>9368</v>
      </c>
      <c r="J143" t="s">
        <v>626</v>
      </c>
      <c r="K143" t="s">
        <v>9112</v>
      </c>
      <c r="L143" t="s">
        <v>9369</v>
      </c>
      <c r="M143" t="s">
        <v>9114</v>
      </c>
    </row>
    <row r="144" spans="9:13" x14ac:dyDescent="0.25">
      <c r="I144" t="s">
        <v>9370</v>
      </c>
      <c r="J144" t="s">
        <v>3821</v>
      </c>
      <c r="K144" t="s">
        <v>9089</v>
      </c>
      <c r="L144" t="s">
        <v>9371</v>
      </c>
      <c r="M144" t="s">
        <v>9091</v>
      </c>
    </row>
    <row r="145" spans="9:13" x14ac:dyDescent="0.25">
      <c r="I145" t="s">
        <v>9372</v>
      </c>
      <c r="J145" t="s">
        <v>2974</v>
      </c>
      <c r="K145" t="s">
        <v>9280</v>
      </c>
      <c r="L145" t="s">
        <v>9373</v>
      </c>
      <c r="M145" t="s">
        <v>9282</v>
      </c>
    </row>
    <row r="146" spans="9:13" x14ac:dyDescent="0.25">
      <c r="I146" t="s">
        <v>9374</v>
      </c>
      <c r="J146" t="s">
        <v>7348</v>
      </c>
      <c r="K146" t="s">
        <v>9095</v>
      </c>
      <c r="L146" t="s">
        <v>9375</v>
      </c>
      <c r="M146" t="s">
        <v>9095</v>
      </c>
    </row>
    <row r="147" spans="9:13" x14ac:dyDescent="0.25">
      <c r="I147" t="s">
        <v>9376</v>
      </c>
      <c r="J147" t="s">
        <v>4308</v>
      </c>
      <c r="K147" t="s">
        <v>9102</v>
      </c>
      <c r="L147" t="s">
        <v>9377</v>
      </c>
      <c r="M147" t="s">
        <v>9104</v>
      </c>
    </row>
    <row r="148" spans="9:13" x14ac:dyDescent="0.25">
      <c r="I148" t="s">
        <v>9378</v>
      </c>
      <c r="J148" t="s">
        <v>649</v>
      </c>
      <c r="K148" t="s">
        <v>9231</v>
      </c>
      <c r="L148" t="s">
        <v>9379</v>
      </c>
      <c r="M148" t="s">
        <v>9233</v>
      </c>
    </row>
    <row r="149" spans="9:13" x14ac:dyDescent="0.25">
      <c r="I149" t="s">
        <v>9380</v>
      </c>
      <c r="J149" t="s">
        <v>2483</v>
      </c>
      <c r="K149" t="s">
        <v>9284</v>
      </c>
      <c r="L149" t="s">
        <v>9381</v>
      </c>
      <c r="M149" t="s">
        <v>9286</v>
      </c>
    </row>
    <row r="150" spans="9:13" x14ac:dyDescent="0.25">
      <c r="I150" t="s">
        <v>9382</v>
      </c>
      <c r="J150" t="s">
        <v>9383</v>
      </c>
      <c r="K150" t="s">
        <v>9187</v>
      </c>
      <c r="L150" t="s">
        <v>9384</v>
      </c>
      <c r="M150" t="s">
        <v>9189</v>
      </c>
    </row>
    <row r="151" spans="9:13" x14ac:dyDescent="0.25">
      <c r="I151" t="s">
        <v>9385</v>
      </c>
      <c r="J151" t="s">
        <v>4441</v>
      </c>
      <c r="K151" t="s">
        <v>9386</v>
      </c>
      <c r="L151" t="s">
        <v>9387</v>
      </c>
      <c r="M151" t="s">
        <v>9388</v>
      </c>
    </row>
    <row r="152" spans="9:13" x14ac:dyDescent="0.25">
      <c r="I152" t="s">
        <v>9389</v>
      </c>
      <c r="J152" t="s">
        <v>4961</v>
      </c>
      <c r="K152" t="s">
        <v>9095</v>
      </c>
      <c r="L152" t="s">
        <v>9390</v>
      </c>
      <c r="M152" t="s">
        <v>9095</v>
      </c>
    </row>
    <row r="153" spans="9:13" x14ac:dyDescent="0.25">
      <c r="I153" t="s">
        <v>9391</v>
      </c>
      <c r="J153" t="s">
        <v>1562</v>
      </c>
      <c r="K153" t="s">
        <v>9223</v>
      </c>
      <c r="L153" t="s">
        <v>9392</v>
      </c>
      <c r="M153" t="s">
        <v>9225</v>
      </c>
    </row>
    <row r="154" spans="9:13" x14ac:dyDescent="0.25">
      <c r="I154" t="s">
        <v>9393</v>
      </c>
      <c r="J154" t="s">
        <v>3266</v>
      </c>
      <c r="K154" t="s">
        <v>9084</v>
      </c>
      <c r="L154" t="s">
        <v>9394</v>
      </c>
      <c r="M154" t="s">
        <v>9086</v>
      </c>
    </row>
    <row r="155" spans="9:13" x14ac:dyDescent="0.25">
      <c r="I155" t="s">
        <v>9395</v>
      </c>
      <c r="J155" t="s">
        <v>9396</v>
      </c>
      <c r="K155" t="s">
        <v>9155</v>
      </c>
      <c r="L155" t="s">
        <v>9397</v>
      </c>
      <c r="M155" t="s">
        <v>9157</v>
      </c>
    </row>
    <row r="156" spans="9:13" x14ac:dyDescent="0.25">
      <c r="I156" t="s">
        <v>9398</v>
      </c>
      <c r="J156" t="s">
        <v>2109</v>
      </c>
      <c r="K156" t="s">
        <v>9102</v>
      </c>
      <c r="L156" t="s">
        <v>9399</v>
      </c>
      <c r="M156" t="s">
        <v>9104</v>
      </c>
    </row>
    <row r="157" spans="9:13" x14ac:dyDescent="0.25">
      <c r="I157" t="s">
        <v>9400</v>
      </c>
      <c r="J157" t="s">
        <v>3979</v>
      </c>
      <c r="K157" t="s">
        <v>9102</v>
      </c>
      <c r="L157" t="s">
        <v>9401</v>
      </c>
      <c r="M157" t="s">
        <v>9104</v>
      </c>
    </row>
    <row r="158" spans="9:13" x14ac:dyDescent="0.25">
      <c r="I158" t="s">
        <v>9402</v>
      </c>
      <c r="J158" t="s">
        <v>9403</v>
      </c>
      <c r="K158" t="s">
        <v>9223</v>
      </c>
      <c r="L158" t="s">
        <v>9404</v>
      </c>
      <c r="M158" t="s">
        <v>9225</v>
      </c>
    </row>
    <row r="159" spans="9:13" x14ac:dyDescent="0.25">
      <c r="I159" t="s">
        <v>9405</v>
      </c>
      <c r="J159" t="s">
        <v>4021</v>
      </c>
      <c r="K159" t="s">
        <v>9223</v>
      </c>
      <c r="L159" t="s">
        <v>9406</v>
      </c>
      <c r="M159" t="s">
        <v>9225</v>
      </c>
    </row>
    <row r="160" spans="9:13" x14ac:dyDescent="0.25">
      <c r="I160" t="s">
        <v>9407</v>
      </c>
      <c r="J160" t="s">
        <v>5523</v>
      </c>
      <c r="K160" t="s">
        <v>9213</v>
      </c>
      <c r="L160" t="s">
        <v>9408</v>
      </c>
      <c r="M160" t="s">
        <v>9215</v>
      </c>
    </row>
    <row r="161" spans="9:13" x14ac:dyDescent="0.25">
      <c r="I161" t="s">
        <v>9409</v>
      </c>
      <c r="J161" t="s">
        <v>6137</v>
      </c>
      <c r="K161" t="s">
        <v>9280</v>
      </c>
      <c r="L161" t="s">
        <v>9410</v>
      </c>
      <c r="M161" t="s">
        <v>9282</v>
      </c>
    </row>
    <row r="162" spans="9:13" x14ac:dyDescent="0.25">
      <c r="I162" t="s">
        <v>9411</v>
      </c>
      <c r="J162" t="s">
        <v>8153</v>
      </c>
      <c r="K162" t="s">
        <v>9412</v>
      </c>
      <c r="L162" t="s">
        <v>9413</v>
      </c>
      <c r="M162" t="s">
        <v>9414</v>
      </c>
    </row>
    <row r="163" spans="9:13" x14ac:dyDescent="0.25">
      <c r="I163" t="s">
        <v>9415</v>
      </c>
      <c r="J163" t="s">
        <v>2676</v>
      </c>
      <c r="K163" t="s">
        <v>9182</v>
      </c>
      <c r="L163" t="s">
        <v>9416</v>
      </c>
      <c r="M163" t="s">
        <v>9184</v>
      </c>
    </row>
    <row r="164" spans="9:13" x14ac:dyDescent="0.25">
      <c r="I164" t="s">
        <v>9417</v>
      </c>
      <c r="J164" t="s">
        <v>1678</v>
      </c>
      <c r="K164" t="s">
        <v>9284</v>
      </c>
      <c r="L164" t="s">
        <v>9418</v>
      </c>
      <c r="M164" t="s">
        <v>9286</v>
      </c>
    </row>
    <row r="165" spans="9:13" x14ac:dyDescent="0.25">
      <c r="I165" t="s">
        <v>9419</v>
      </c>
      <c r="J165" t="s">
        <v>1053</v>
      </c>
      <c r="K165" t="s">
        <v>9095</v>
      </c>
      <c r="L165" t="s">
        <v>9420</v>
      </c>
      <c r="M165" t="s">
        <v>9095</v>
      </c>
    </row>
    <row r="166" spans="9:13" x14ac:dyDescent="0.25">
      <c r="I166" t="s">
        <v>9421</v>
      </c>
      <c r="J166" t="s">
        <v>9422</v>
      </c>
      <c r="K166" t="s">
        <v>9316</v>
      </c>
      <c r="L166" t="s">
        <v>9423</v>
      </c>
      <c r="M166" t="s">
        <v>9318</v>
      </c>
    </row>
    <row r="167" spans="9:13" x14ac:dyDescent="0.25">
      <c r="I167" t="s">
        <v>9424</v>
      </c>
      <c r="J167" t="s">
        <v>9425</v>
      </c>
      <c r="K167" t="s">
        <v>9219</v>
      </c>
      <c r="L167" t="s">
        <v>9426</v>
      </c>
      <c r="M167" t="s">
        <v>9221</v>
      </c>
    </row>
    <row r="168" spans="9:13" x14ac:dyDescent="0.25">
      <c r="I168" t="s">
        <v>9427</v>
      </c>
      <c r="J168" t="s">
        <v>6067</v>
      </c>
      <c r="K168" t="s">
        <v>9174</v>
      </c>
      <c r="L168" t="s">
        <v>9428</v>
      </c>
      <c r="M168" t="s">
        <v>9176</v>
      </c>
    </row>
    <row r="169" spans="9:13" x14ac:dyDescent="0.25">
      <c r="I169" t="s">
        <v>9429</v>
      </c>
      <c r="J169" t="s">
        <v>393</v>
      </c>
      <c r="K169" t="s">
        <v>9136</v>
      </c>
      <c r="L169" t="s">
        <v>9430</v>
      </c>
      <c r="M169" t="s">
        <v>9138</v>
      </c>
    </row>
    <row r="170" spans="9:13" x14ac:dyDescent="0.25">
      <c r="I170" t="s">
        <v>9431</v>
      </c>
      <c r="J170" t="s">
        <v>323</v>
      </c>
      <c r="K170" t="s">
        <v>9161</v>
      </c>
      <c r="L170" t="s">
        <v>9432</v>
      </c>
      <c r="M170" t="s">
        <v>9163</v>
      </c>
    </row>
    <row r="171" spans="9:13" x14ac:dyDescent="0.25">
      <c r="I171" t="s">
        <v>9433</v>
      </c>
      <c r="J171" t="s">
        <v>5354</v>
      </c>
      <c r="K171" t="s">
        <v>9434</v>
      </c>
      <c r="L171" t="s">
        <v>9435</v>
      </c>
      <c r="M171" t="s">
        <v>9436</v>
      </c>
    </row>
    <row r="172" spans="9:13" x14ac:dyDescent="0.25">
      <c r="I172" t="s">
        <v>9437</v>
      </c>
      <c r="J172" t="s">
        <v>2256</v>
      </c>
      <c r="K172" t="s">
        <v>9438</v>
      </c>
      <c r="L172" t="s">
        <v>9439</v>
      </c>
      <c r="M172" t="s">
        <v>9440</v>
      </c>
    </row>
    <row r="173" spans="9:13" x14ac:dyDescent="0.25">
      <c r="I173" t="s">
        <v>9441</v>
      </c>
      <c r="J173" t="s">
        <v>263</v>
      </c>
      <c r="K173" t="s">
        <v>9136</v>
      </c>
      <c r="L173" t="s">
        <v>9442</v>
      </c>
      <c r="M173" t="s">
        <v>9138</v>
      </c>
    </row>
    <row r="174" spans="9:13" x14ac:dyDescent="0.25">
      <c r="I174" t="s">
        <v>9443</v>
      </c>
      <c r="J174" t="s">
        <v>3945</v>
      </c>
      <c r="K174" t="s">
        <v>9280</v>
      </c>
      <c r="L174" t="s">
        <v>9444</v>
      </c>
      <c r="M174" t="s">
        <v>9282</v>
      </c>
    </row>
    <row r="175" spans="9:13" x14ac:dyDescent="0.25">
      <c r="I175" t="s">
        <v>9445</v>
      </c>
      <c r="J175" t="s">
        <v>9446</v>
      </c>
      <c r="K175" t="s">
        <v>9108</v>
      </c>
      <c r="L175" t="s">
        <v>9447</v>
      </c>
      <c r="M175" t="s">
        <v>9110</v>
      </c>
    </row>
    <row r="176" spans="9:13" x14ac:dyDescent="0.25">
      <c r="I176" t="s">
        <v>9448</v>
      </c>
      <c r="J176" t="s">
        <v>1214</v>
      </c>
      <c r="K176" t="s">
        <v>9174</v>
      </c>
      <c r="L176" t="s">
        <v>9449</v>
      </c>
      <c r="M176" t="s">
        <v>9176</v>
      </c>
    </row>
    <row r="177" spans="9:13" x14ac:dyDescent="0.25">
      <c r="I177" t="s">
        <v>9450</v>
      </c>
      <c r="J177" t="s">
        <v>3977</v>
      </c>
      <c r="K177" t="s">
        <v>9187</v>
      </c>
      <c r="L177" t="s">
        <v>9451</v>
      </c>
      <c r="M177" t="s">
        <v>9189</v>
      </c>
    </row>
    <row r="178" spans="9:13" x14ac:dyDescent="0.25">
      <c r="I178" t="s">
        <v>9452</v>
      </c>
      <c r="J178" t="s">
        <v>1003</v>
      </c>
      <c r="K178" t="s">
        <v>9112</v>
      </c>
      <c r="L178" t="s">
        <v>9453</v>
      </c>
      <c r="M178" t="s">
        <v>9114</v>
      </c>
    </row>
    <row r="179" spans="9:13" x14ac:dyDescent="0.25">
      <c r="I179" t="s">
        <v>9454</v>
      </c>
      <c r="J179" t="s">
        <v>527</v>
      </c>
      <c r="K179" t="s">
        <v>9112</v>
      </c>
      <c r="L179" t="s">
        <v>9455</v>
      </c>
      <c r="M179" t="s">
        <v>9114</v>
      </c>
    </row>
    <row r="180" spans="9:13" x14ac:dyDescent="0.25">
      <c r="I180" t="s">
        <v>9456</v>
      </c>
      <c r="J180" t="s">
        <v>1710</v>
      </c>
      <c r="K180" t="s">
        <v>9127</v>
      </c>
      <c r="L180" t="s">
        <v>9457</v>
      </c>
      <c r="M180" t="s">
        <v>9129</v>
      </c>
    </row>
    <row r="181" spans="9:13" x14ac:dyDescent="0.25">
      <c r="I181" t="s">
        <v>9458</v>
      </c>
      <c r="J181" t="s">
        <v>836</v>
      </c>
      <c r="K181" t="s">
        <v>9136</v>
      </c>
      <c r="L181" t="s">
        <v>9459</v>
      </c>
      <c r="M181" t="s">
        <v>9138</v>
      </c>
    </row>
    <row r="182" spans="9:13" x14ac:dyDescent="0.25">
      <c r="I182" t="s">
        <v>9460</v>
      </c>
      <c r="J182" t="s">
        <v>2942</v>
      </c>
      <c r="K182" t="s">
        <v>9187</v>
      </c>
      <c r="L182" t="s">
        <v>9461</v>
      </c>
      <c r="M182" t="s">
        <v>9189</v>
      </c>
    </row>
    <row r="183" spans="9:13" x14ac:dyDescent="0.25">
      <c r="I183" t="s">
        <v>9462</v>
      </c>
      <c r="J183" t="s">
        <v>5460</v>
      </c>
      <c r="K183" t="s">
        <v>9084</v>
      </c>
      <c r="L183" t="s">
        <v>9463</v>
      </c>
      <c r="M183" t="s">
        <v>9086</v>
      </c>
    </row>
    <row r="184" spans="9:13" x14ac:dyDescent="0.25">
      <c r="I184" t="s">
        <v>9464</v>
      </c>
      <c r="J184" t="s">
        <v>2042</v>
      </c>
      <c r="K184" t="s">
        <v>9252</v>
      </c>
      <c r="L184" t="s">
        <v>9465</v>
      </c>
      <c r="M184" t="s">
        <v>9254</v>
      </c>
    </row>
    <row r="185" spans="9:13" x14ac:dyDescent="0.25">
      <c r="I185" t="s">
        <v>9466</v>
      </c>
      <c r="J185" t="s">
        <v>3628</v>
      </c>
      <c r="K185" t="s">
        <v>9467</v>
      </c>
      <c r="L185" t="s">
        <v>9468</v>
      </c>
      <c r="M185" t="s">
        <v>9469</v>
      </c>
    </row>
    <row r="186" spans="9:13" x14ac:dyDescent="0.25">
      <c r="I186" t="s">
        <v>9470</v>
      </c>
      <c r="J186" t="s">
        <v>1034</v>
      </c>
      <c r="K186" t="s">
        <v>9118</v>
      </c>
      <c r="L186" t="s">
        <v>9471</v>
      </c>
      <c r="M186" t="s">
        <v>9120</v>
      </c>
    </row>
    <row r="187" spans="9:13" x14ac:dyDescent="0.25">
      <c r="I187" t="s">
        <v>9472</v>
      </c>
      <c r="J187" t="s">
        <v>569</v>
      </c>
      <c r="K187" t="s">
        <v>9112</v>
      </c>
      <c r="L187" t="s">
        <v>9473</v>
      </c>
      <c r="M187" t="s">
        <v>9114</v>
      </c>
    </row>
    <row r="188" spans="9:13" x14ac:dyDescent="0.25">
      <c r="I188" t="s">
        <v>9474</v>
      </c>
      <c r="J188" t="s">
        <v>438</v>
      </c>
      <c r="K188" t="s">
        <v>9231</v>
      </c>
      <c r="L188" t="s">
        <v>9475</v>
      </c>
      <c r="M188" t="s">
        <v>9233</v>
      </c>
    </row>
    <row r="189" spans="9:13" x14ac:dyDescent="0.25">
      <c r="I189" t="s">
        <v>9476</v>
      </c>
      <c r="J189" t="s">
        <v>8468</v>
      </c>
      <c r="K189" t="s">
        <v>9231</v>
      </c>
      <c r="L189" t="s">
        <v>9477</v>
      </c>
      <c r="M189" t="s">
        <v>9233</v>
      </c>
    </row>
    <row r="190" spans="9:13" x14ac:dyDescent="0.25">
      <c r="I190" t="s">
        <v>9478</v>
      </c>
      <c r="J190" t="s">
        <v>3173</v>
      </c>
      <c r="K190" t="s">
        <v>9174</v>
      </c>
      <c r="L190" t="s">
        <v>9479</v>
      </c>
      <c r="M190" t="s">
        <v>9176</v>
      </c>
    </row>
    <row r="191" spans="9:13" x14ac:dyDescent="0.25">
      <c r="I191" t="s">
        <v>9480</v>
      </c>
      <c r="J191" t="s">
        <v>9481</v>
      </c>
      <c r="K191" t="s">
        <v>9280</v>
      </c>
      <c r="L191" t="s">
        <v>9482</v>
      </c>
      <c r="M191" t="s">
        <v>9282</v>
      </c>
    </row>
    <row r="192" spans="9:13" x14ac:dyDescent="0.25">
      <c r="I192" t="s">
        <v>9483</v>
      </c>
      <c r="J192" t="s">
        <v>511</v>
      </c>
      <c r="K192" t="s">
        <v>9223</v>
      </c>
      <c r="L192" t="s">
        <v>9484</v>
      </c>
      <c r="M192" t="s">
        <v>9225</v>
      </c>
    </row>
    <row r="193" spans="9:13" x14ac:dyDescent="0.25">
      <c r="I193" t="s">
        <v>9485</v>
      </c>
      <c r="J193" t="s">
        <v>3623</v>
      </c>
      <c r="K193" t="s">
        <v>9219</v>
      </c>
      <c r="L193" t="s">
        <v>9486</v>
      </c>
      <c r="M193" t="s">
        <v>9221</v>
      </c>
    </row>
    <row r="194" spans="9:13" x14ac:dyDescent="0.25">
      <c r="I194" t="s">
        <v>9487</v>
      </c>
      <c r="J194" t="s">
        <v>3961</v>
      </c>
      <c r="K194" t="s">
        <v>9152</v>
      </c>
      <c r="L194" t="s">
        <v>9488</v>
      </c>
      <c r="M194" t="s">
        <v>9154</v>
      </c>
    </row>
    <row r="195" spans="9:13" x14ac:dyDescent="0.25">
      <c r="I195" t="s">
        <v>9489</v>
      </c>
      <c r="J195" t="s">
        <v>696</v>
      </c>
      <c r="K195" t="s">
        <v>9112</v>
      </c>
      <c r="L195" t="s">
        <v>9490</v>
      </c>
      <c r="M195" t="s">
        <v>9114</v>
      </c>
    </row>
    <row r="196" spans="9:13" x14ac:dyDescent="0.25">
      <c r="I196" t="s">
        <v>9491</v>
      </c>
      <c r="J196" t="s">
        <v>9492</v>
      </c>
      <c r="K196" t="s">
        <v>9280</v>
      </c>
      <c r="L196" t="s">
        <v>9493</v>
      </c>
      <c r="M196" t="s">
        <v>9282</v>
      </c>
    </row>
    <row r="197" spans="9:13" x14ac:dyDescent="0.25">
      <c r="I197" t="s">
        <v>9494</v>
      </c>
      <c r="J197" t="s">
        <v>2362</v>
      </c>
      <c r="K197" t="s">
        <v>9098</v>
      </c>
      <c r="L197" t="s">
        <v>9495</v>
      </c>
      <c r="M197" t="s">
        <v>9100</v>
      </c>
    </row>
    <row r="198" spans="9:13" x14ac:dyDescent="0.25">
      <c r="I198" t="s">
        <v>9496</v>
      </c>
      <c r="J198" t="s">
        <v>969</v>
      </c>
      <c r="K198" t="s">
        <v>9161</v>
      </c>
      <c r="L198" t="s">
        <v>9497</v>
      </c>
      <c r="M198" t="s">
        <v>9163</v>
      </c>
    </row>
    <row r="199" spans="9:13" x14ac:dyDescent="0.25">
      <c r="I199" t="s">
        <v>9498</v>
      </c>
      <c r="J199" t="s">
        <v>3237</v>
      </c>
      <c r="K199" t="s">
        <v>9089</v>
      </c>
      <c r="L199" t="s">
        <v>9499</v>
      </c>
      <c r="M199" t="s">
        <v>9091</v>
      </c>
    </row>
    <row r="200" spans="9:13" x14ac:dyDescent="0.25">
      <c r="I200" t="s">
        <v>9500</v>
      </c>
      <c r="J200" t="s">
        <v>5658</v>
      </c>
      <c r="K200" t="s">
        <v>9095</v>
      </c>
      <c r="L200" t="s">
        <v>9501</v>
      </c>
      <c r="M200" t="s">
        <v>9095</v>
      </c>
    </row>
    <row r="201" spans="9:13" x14ac:dyDescent="0.25">
      <c r="I201" t="s">
        <v>9502</v>
      </c>
      <c r="J201" t="s">
        <v>9503</v>
      </c>
      <c r="K201" t="s">
        <v>9136</v>
      </c>
      <c r="L201" t="s">
        <v>9504</v>
      </c>
      <c r="M201" t="s">
        <v>9138</v>
      </c>
    </row>
    <row r="202" spans="9:13" x14ac:dyDescent="0.25">
      <c r="I202" t="s">
        <v>9505</v>
      </c>
      <c r="J202" t="s">
        <v>9506</v>
      </c>
      <c r="K202" t="s">
        <v>9219</v>
      </c>
      <c r="L202" t="s">
        <v>9507</v>
      </c>
      <c r="M202" t="s">
        <v>9221</v>
      </c>
    </row>
    <row r="203" spans="9:13" x14ac:dyDescent="0.25">
      <c r="I203" t="s">
        <v>9508</v>
      </c>
      <c r="J203" t="s">
        <v>3326</v>
      </c>
      <c r="K203" t="s">
        <v>9102</v>
      </c>
      <c r="L203" t="s">
        <v>9509</v>
      </c>
      <c r="M203" t="s">
        <v>9104</v>
      </c>
    </row>
    <row r="204" spans="9:13" x14ac:dyDescent="0.25">
      <c r="I204" t="s">
        <v>9510</v>
      </c>
      <c r="J204" t="s">
        <v>347</v>
      </c>
      <c r="K204" t="s">
        <v>9112</v>
      </c>
      <c r="L204" t="s">
        <v>9511</v>
      </c>
      <c r="M204" t="s">
        <v>9114</v>
      </c>
    </row>
    <row r="205" spans="9:13" x14ac:dyDescent="0.25">
      <c r="I205" t="s">
        <v>9512</v>
      </c>
      <c r="J205" t="s">
        <v>722</v>
      </c>
      <c r="K205" t="s">
        <v>9112</v>
      </c>
      <c r="L205" t="s">
        <v>9513</v>
      </c>
      <c r="M205" t="s">
        <v>9114</v>
      </c>
    </row>
    <row r="206" spans="9:13" x14ac:dyDescent="0.25">
      <c r="I206" t="s">
        <v>9514</v>
      </c>
      <c r="J206" t="s">
        <v>78</v>
      </c>
      <c r="K206" t="s">
        <v>9280</v>
      </c>
      <c r="L206" t="s">
        <v>9515</v>
      </c>
      <c r="M206" t="s">
        <v>9282</v>
      </c>
    </row>
    <row r="207" spans="9:13" x14ac:dyDescent="0.25">
      <c r="I207" t="s">
        <v>9516</v>
      </c>
      <c r="J207" t="s">
        <v>3781</v>
      </c>
      <c r="K207" t="s">
        <v>9108</v>
      </c>
      <c r="L207" t="s">
        <v>9517</v>
      </c>
      <c r="M207" t="s">
        <v>9110</v>
      </c>
    </row>
    <row r="208" spans="9:13" x14ac:dyDescent="0.25">
      <c r="I208" t="s">
        <v>9518</v>
      </c>
      <c r="J208" t="s">
        <v>2454</v>
      </c>
      <c r="K208" t="s">
        <v>9127</v>
      </c>
      <c r="L208" t="s">
        <v>9519</v>
      </c>
      <c r="M208" t="s">
        <v>9129</v>
      </c>
    </row>
    <row r="209" spans="9:13" x14ac:dyDescent="0.25">
      <c r="I209" t="s">
        <v>9520</v>
      </c>
      <c r="J209" t="s">
        <v>770</v>
      </c>
      <c r="K209" t="s">
        <v>9231</v>
      </c>
      <c r="L209" t="s">
        <v>9521</v>
      </c>
      <c r="M209" t="s">
        <v>9233</v>
      </c>
    </row>
    <row r="210" spans="9:13" x14ac:dyDescent="0.25">
      <c r="I210" t="s">
        <v>9522</v>
      </c>
      <c r="J210" t="s">
        <v>142</v>
      </c>
      <c r="K210" t="s">
        <v>9231</v>
      </c>
      <c r="L210" t="s">
        <v>9523</v>
      </c>
      <c r="M210" t="s">
        <v>9233</v>
      </c>
    </row>
    <row r="211" spans="9:13" x14ac:dyDescent="0.25">
      <c r="I211" t="s">
        <v>9524</v>
      </c>
      <c r="J211" t="s">
        <v>2164</v>
      </c>
      <c r="K211" t="s">
        <v>9095</v>
      </c>
      <c r="L211" t="s">
        <v>9525</v>
      </c>
      <c r="M211" t="s">
        <v>9095</v>
      </c>
    </row>
    <row r="212" spans="9:13" x14ac:dyDescent="0.25">
      <c r="I212" t="s">
        <v>9526</v>
      </c>
      <c r="J212" t="s">
        <v>1779</v>
      </c>
      <c r="K212" t="s">
        <v>9527</v>
      </c>
      <c r="L212" t="s">
        <v>9528</v>
      </c>
      <c r="M212" t="s">
        <v>9529</v>
      </c>
    </row>
    <row r="213" spans="9:13" x14ac:dyDescent="0.25">
      <c r="I213" t="s">
        <v>9530</v>
      </c>
      <c r="J213" t="s">
        <v>4225</v>
      </c>
      <c r="K213" t="s">
        <v>9182</v>
      </c>
      <c r="L213" t="s">
        <v>9531</v>
      </c>
      <c r="M213" t="s">
        <v>9184</v>
      </c>
    </row>
    <row r="214" spans="9:13" x14ac:dyDescent="0.25">
      <c r="I214" t="s">
        <v>9532</v>
      </c>
      <c r="J214" t="s">
        <v>1447</v>
      </c>
      <c r="K214" t="s">
        <v>9174</v>
      </c>
      <c r="L214" t="s">
        <v>9533</v>
      </c>
      <c r="M214" t="s">
        <v>9176</v>
      </c>
    </row>
    <row r="215" spans="9:13" x14ac:dyDescent="0.25">
      <c r="I215" t="s">
        <v>9534</v>
      </c>
      <c r="J215" t="s">
        <v>301</v>
      </c>
      <c r="K215" t="s">
        <v>9267</v>
      </c>
      <c r="L215" t="s">
        <v>9535</v>
      </c>
      <c r="M215" t="s">
        <v>9269</v>
      </c>
    </row>
    <row r="216" spans="9:13" x14ac:dyDescent="0.25">
      <c r="I216" t="s">
        <v>9536</v>
      </c>
      <c r="J216" t="s">
        <v>5812</v>
      </c>
      <c r="K216" t="s">
        <v>9537</v>
      </c>
      <c r="L216" t="s">
        <v>9538</v>
      </c>
      <c r="M216" t="s">
        <v>9539</v>
      </c>
    </row>
    <row r="217" spans="9:13" x14ac:dyDescent="0.25">
      <c r="I217" t="s">
        <v>9540</v>
      </c>
      <c r="J217" t="s">
        <v>1067</v>
      </c>
      <c r="K217" t="s">
        <v>9182</v>
      </c>
      <c r="L217" t="s">
        <v>9541</v>
      </c>
      <c r="M217" t="s">
        <v>9184</v>
      </c>
    </row>
    <row r="218" spans="9:13" x14ac:dyDescent="0.25">
      <c r="I218" t="s">
        <v>9542</v>
      </c>
      <c r="J218" t="s">
        <v>9543</v>
      </c>
      <c r="K218" t="s">
        <v>9102</v>
      </c>
      <c r="L218" t="s">
        <v>9544</v>
      </c>
      <c r="M218" t="s">
        <v>9104</v>
      </c>
    </row>
    <row r="219" spans="9:13" x14ac:dyDescent="0.25">
      <c r="I219" t="s">
        <v>9545</v>
      </c>
      <c r="J219" t="s">
        <v>7055</v>
      </c>
      <c r="K219" t="s">
        <v>9546</v>
      </c>
      <c r="L219" t="s">
        <v>9547</v>
      </c>
      <c r="M219" t="s">
        <v>9548</v>
      </c>
    </row>
    <row r="220" spans="9:13" x14ac:dyDescent="0.25">
      <c r="I220" t="s">
        <v>9549</v>
      </c>
      <c r="J220" t="s">
        <v>7381</v>
      </c>
      <c r="K220" t="s">
        <v>9550</v>
      </c>
      <c r="L220" t="s">
        <v>9551</v>
      </c>
      <c r="M220" t="s">
        <v>9552</v>
      </c>
    </row>
    <row r="221" spans="9:13" x14ac:dyDescent="0.25">
      <c r="I221" t="s">
        <v>9553</v>
      </c>
      <c r="J221" t="s">
        <v>2240</v>
      </c>
      <c r="K221" t="s">
        <v>9386</v>
      </c>
      <c r="L221" t="s">
        <v>9554</v>
      </c>
      <c r="M221" t="s">
        <v>9388</v>
      </c>
    </row>
    <row r="222" spans="9:13" x14ac:dyDescent="0.25">
      <c r="I222" t="s">
        <v>9555</v>
      </c>
      <c r="J222" t="s">
        <v>496</v>
      </c>
      <c r="K222" t="s">
        <v>9182</v>
      </c>
      <c r="L222" t="s">
        <v>9556</v>
      </c>
      <c r="M222" t="s">
        <v>9184</v>
      </c>
    </row>
    <row r="223" spans="9:13" x14ac:dyDescent="0.25">
      <c r="I223" t="s">
        <v>9557</v>
      </c>
      <c r="J223" t="s">
        <v>7577</v>
      </c>
      <c r="K223" t="s">
        <v>9174</v>
      </c>
      <c r="L223" t="s">
        <v>9558</v>
      </c>
      <c r="M223" t="s">
        <v>9176</v>
      </c>
    </row>
    <row r="224" spans="9:13" x14ac:dyDescent="0.25">
      <c r="I224" t="s">
        <v>9559</v>
      </c>
      <c r="J224" t="s">
        <v>433</v>
      </c>
      <c r="K224" t="s">
        <v>9231</v>
      </c>
      <c r="L224" t="s">
        <v>9560</v>
      </c>
      <c r="M224" t="s">
        <v>9233</v>
      </c>
    </row>
    <row r="225" spans="9:13" x14ac:dyDescent="0.25">
      <c r="I225" t="s">
        <v>9561</v>
      </c>
      <c r="J225" t="s">
        <v>9562</v>
      </c>
      <c r="K225" t="s">
        <v>9219</v>
      </c>
      <c r="L225" t="s">
        <v>9563</v>
      </c>
      <c r="M225" t="s">
        <v>9221</v>
      </c>
    </row>
    <row r="226" spans="9:13" x14ac:dyDescent="0.25">
      <c r="I226" t="s">
        <v>9564</v>
      </c>
      <c r="J226" t="s">
        <v>9565</v>
      </c>
      <c r="K226" t="s">
        <v>9034</v>
      </c>
      <c r="L226" t="s">
        <v>9566</v>
      </c>
      <c r="M226" t="s">
        <v>9069</v>
      </c>
    </row>
    <row r="227" spans="9:13" x14ac:dyDescent="0.25">
      <c r="I227" t="s">
        <v>9567</v>
      </c>
      <c r="J227" t="s">
        <v>4458</v>
      </c>
      <c r="K227" t="s">
        <v>9174</v>
      </c>
      <c r="L227" t="s">
        <v>9568</v>
      </c>
      <c r="M227" t="s">
        <v>9176</v>
      </c>
    </row>
    <row r="228" spans="9:13" x14ac:dyDescent="0.25">
      <c r="I228" t="s">
        <v>9569</v>
      </c>
      <c r="J228" t="s">
        <v>6503</v>
      </c>
      <c r="K228" t="s">
        <v>9219</v>
      </c>
      <c r="L228" t="s">
        <v>9570</v>
      </c>
      <c r="M228" t="s">
        <v>9221</v>
      </c>
    </row>
    <row r="229" spans="9:13" x14ac:dyDescent="0.25">
      <c r="I229" t="s">
        <v>9571</v>
      </c>
      <c r="J229" t="s">
        <v>2137</v>
      </c>
      <c r="K229" t="s">
        <v>9438</v>
      </c>
      <c r="L229" t="s">
        <v>9572</v>
      </c>
      <c r="M229" t="s">
        <v>9440</v>
      </c>
    </row>
    <row r="230" spans="9:13" x14ac:dyDescent="0.25">
      <c r="I230" t="s">
        <v>9573</v>
      </c>
      <c r="J230" t="s">
        <v>8736</v>
      </c>
      <c r="K230" t="s">
        <v>9206</v>
      </c>
      <c r="L230" t="s">
        <v>9574</v>
      </c>
      <c r="M230" t="s">
        <v>9208</v>
      </c>
    </row>
    <row r="231" spans="9:13" x14ac:dyDescent="0.25">
      <c r="I231" t="s">
        <v>9575</v>
      </c>
      <c r="J231" t="s">
        <v>1171</v>
      </c>
      <c r="K231" t="s">
        <v>9280</v>
      </c>
      <c r="L231" t="s">
        <v>9576</v>
      </c>
      <c r="M231" t="s">
        <v>9282</v>
      </c>
    </row>
    <row r="232" spans="9:13" x14ac:dyDescent="0.25">
      <c r="I232" t="s">
        <v>9577</v>
      </c>
      <c r="J232" t="s">
        <v>3915</v>
      </c>
      <c r="K232" t="s">
        <v>9174</v>
      </c>
      <c r="L232" t="s">
        <v>9578</v>
      </c>
      <c r="M232" t="s">
        <v>9176</v>
      </c>
    </row>
    <row r="233" spans="9:13" x14ac:dyDescent="0.25">
      <c r="I233" t="s">
        <v>9579</v>
      </c>
      <c r="J233" t="s">
        <v>8360</v>
      </c>
      <c r="K233" t="s">
        <v>9112</v>
      </c>
      <c r="L233" t="s">
        <v>9580</v>
      </c>
      <c r="M233" t="s">
        <v>9114</v>
      </c>
    </row>
    <row r="234" spans="9:13" x14ac:dyDescent="0.25">
      <c r="I234" t="s">
        <v>9581</v>
      </c>
      <c r="J234" t="s">
        <v>5003</v>
      </c>
      <c r="K234" t="s">
        <v>9196</v>
      </c>
      <c r="L234" t="s">
        <v>9582</v>
      </c>
      <c r="M234" t="s">
        <v>9198</v>
      </c>
    </row>
    <row r="235" spans="9:13" x14ac:dyDescent="0.25">
      <c r="I235" t="s">
        <v>9583</v>
      </c>
      <c r="J235" t="s">
        <v>9584</v>
      </c>
      <c r="K235" t="s">
        <v>9585</v>
      </c>
      <c r="L235" t="s">
        <v>9586</v>
      </c>
      <c r="M235" t="s">
        <v>9587</v>
      </c>
    </row>
    <row r="236" spans="9:13" x14ac:dyDescent="0.25">
      <c r="I236" t="s">
        <v>9588</v>
      </c>
      <c r="J236" t="s">
        <v>3884</v>
      </c>
      <c r="K236" t="s">
        <v>9098</v>
      </c>
      <c r="L236" t="s">
        <v>9589</v>
      </c>
      <c r="M236" t="s">
        <v>9100</v>
      </c>
    </row>
    <row r="237" spans="9:13" x14ac:dyDescent="0.25">
      <c r="I237" t="s">
        <v>9590</v>
      </c>
      <c r="J237" t="s">
        <v>7921</v>
      </c>
      <c r="K237" t="s">
        <v>9223</v>
      </c>
      <c r="L237" t="s">
        <v>9591</v>
      </c>
      <c r="M237" t="s">
        <v>9225</v>
      </c>
    </row>
    <row r="238" spans="9:13" x14ac:dyDescent="0.25">
      <c r="I238" t="s">
        <v>9592</v>
      </c>
      <c r="J238" t="s">
        <v>9593</v>
      </c>
      <c r="K238" t="s">
        <v>9219</v>
      </c>
      <c r="L238" t="s">
        <v>9594</v>
      </c>
      <c r="M238" t="s">
        <v>9221</v>
      </c>
    </row>
    <row r="239" spans="9:13" x14ac:dyDescent="0.25">
      <c r="I239" t="s">
        <v>9595</v>
      </c>
      <c r="J239" t="s">
        <v>468</v>
      </c>
      <c r="K239" t="s">
        <v>9219</v>
      </c>
      <c r="L239" t="s">
        <v>9596</v>
      </c>
      <c r="M239" t="s">
        <v>9221</v>
      </c>
    </row>
    <row r="240" spans="9:13" x14ac:dyDescent="0.25">
      <c r="I240" t="s">
        <v>9597</v>
      </c>
      <c r="J240" t="s">
        <v>4067</v>
      </c>
      <c r="K240" t="s">
        <v>9280</v>
      </c>
      <c r="L240" t="s">
        <v>9598</v>
      </c>
      <c r="M240" t="s">
        <v>9282</v>
      </c>
    </row>
    <row r="241" spans="9:13" x14ac:dyDescent="0.25">
      <c r="I241" t="s">
        <v>9599</v>
      </c>
      <c r="J241" t="s">
        <v>4583</v>
      </c>
      <c r="K241" t="s">
        <v>9098</v>
      </c>
      <c r="L241" t="s">
        <v>9600</v>
      </c>
      <c r="M241" t="s">
        <v>9100</v>
      </c>
    </row>
    <row r="242" spans="9:13" x14ac:dyDescent="0.25">
      <c r="I242" t="s">
        <v>9601</v>
      </c>
      <c r="J242" t="s">
        <v>2588</v>
      </c>
      <c r="K242" t="s">
        <v>9182</v>
      </c>
      <c r="L242" t="s">
        <v>9602</v>
      </c>
      <c r="M242" t="s">
        <v>9184</v>
      </c>
    </row>
    <row r="243" spans="9:13" x14ac:dyDescent="0.25">
      <c r="I243" t="s">
        <v>9603</v>
      </c>
      <c r="J243" t="s">
        <v>4815</v>
      </c>
      <c r="K243" t="s">
        <v>9174</v>
      </c>
      <c r="L243" t="s">
        <v>9604</v>
      </c>
      <c r="M243" t="s">
        <v>9176</v>
      </c>
    </row>
    <row r="244" spans="9:13" x14ac:dyDescent="0.25">
      <c r="I244" t="s">
        <v>9605</v>
      </c>
      <c r="J244" t="s">
        <v>4701</v>
      </c>
      <c r="K244" t="s">
        <v>9174</v>
      </c>
      <c r="L244" t="s">
        <v>9606</v>
      </c>
      <c r="M244" t="s">
        <v>9176</v>
      </c>
    </row>
    <row r="245" spans="9:13" x14ac:dyDescent="0.25">
      <c r="I245" t="s">
        <v>9607</v>
      </c>
      <c r="J245" t="s">
        <v>1867</v>
      </c>
      <c r="K245" t="s">
        <v>9267</v>
      </c>
      <c r="L245" t="s">
        <v>9608</v>
      </c>
      <c r="M245" t="s">
        <v>9269</v>
      </c>
    </row>
    <row r="246" spans="9:13" x14ac:dyDescent="0.25">
      <c r="I246" t="s">
        <v>9609</v>
      </c>
      <c r="J246" t="s">
        <v>1100</v>
      </c>
      <c r="K246" t="s">
        <v>9102</v>
      </c>
      <c r="L246" t="s">
        <v>9610</v>
      </c>
      <c r="M246" t="s">
        <v>9104</v>
      </c>
    </row>
    <row r="247" spans="9:13" x14ac:dyDescent="0.25">
      <c r="I247" t="s">
        <v>9611</v>
      </c>
      <c r="J247" t="s">
        <v>8738</v>
      </c>
      <c r="K247" t="s">
        <v>9231</v>
      </c>
      <c r="L247" t="s">
        <v>9612</v>
      </c>
      <c r="M247" t="s">
        <v>9233</v>
      </c>
    </row>
    <row r="248" spans="9:13" x14ac:dyDescent="0.25">
      <c r="I248" t="s">
        <v>9613</v>
      </c>
      <c r="J248" t="s">
        <v>621</v>
      </c>
      <c r="K248" t="s">
        <v>9206</v>
      </c>
      <c r="L248" t="s">
        <v>9614</v>
      </c>
      <c r="M248" t="s">
        <v>9208</v>
      </c>
    </row>
    <row r="249" spans="9:13" x14ac:dyDescent="0.25">
      <c r="I249" t="s">
        <v>9615</v>
      </c>
      <c r="J249" t="s">
        <v>8786</v>
      </c>
      <c r="K249" t="s">
        <v>9123</v>
      </c>
      <c r="L249" t="s">
        <v>9616</v>
      </c>
      <c r="M249" t="s">
        <v>9125</v>
      </c>
    </row>
    <row r="250" spans="9:13" x14ac:dyDescent="0.25">
      <c r="I250" t="s">
        <v>9617</v>
      </c>
      <c r="J250" t="s">
        <v>1772</v>
      </c>
      <c r="K250" t="s">
        <v>9231</v>
      </c>
      <c r="L250" t="s">
        <v>9618</v>
      </c>
      <c r="M250" t="s">
        <v>9233</v>
      </c>
    </row>
    <row r="251" spans="9:13" x14ac:dyDescent="0.25">
      <c r="I251" t="s">
        <v>9619</v>
      </c>
      <c r="J251" t="s">
        <v>4266</v>
      </c>
      <c r="K251" t="s">
        <v>9174</v>
      </c>
      <c r="L251" t="s">
        <v>9620</v>
      </c>
      <c r="M251" t="s">
        <v>9176</v>
      </c>
    </row>
    <row r="252" spans="9:13" x14ac:dyDescent="0.25">
      <c r="I252" t="s">
        <v>9621</v>
      </c>
      <c r="J252" t="s">
        <v>474</v>
      </c>
      <c r="K252" t="s">
        <v>9098</v>
      </c>
      <c r="L252" t="s">
        <v>9622</v>
      </c>
      <c r="M252" t="s">
        <v>9100</v>
      </c>
    </row>
    <row r="253" spans="9:13" x14ac:dyDescent="0.25">
      <c r="I253" t="s">
        <v>9623</v>
      </c>
      <c r="J253" t="s">
        <v>8748</v>
      </c>
      <c r="K253" t="s">
        <v>9624</v>
      </c>
      <c r="L253" t="s">
        <v>9625</v>
      </c>
      <c r="M253" t="s">
        <v>9626</v>
      </c>
    </row>
    <row r="254" spans="9:13" x14ac:dyDescent="0.25">
      <c r="I254" t="s">
        <v>9627</v>
      </c>
      <c r="J254" t="s">
        <v>9628</v>
      </c>
      <c r="K254" t="s">
        <v>9206</v>
      </c>
      <c r="L254" t="s">
        <v>9629</v>
      </c>
      <c r="M254" t="s">
        <v>9208</v>
      </c>
    </row>
    <row r="255" spans="9:13" x14ac:dyDescent="0.25">
      <c r="I255" t="s">
        <v>9630</v>
      </c>
      <c r="J255" t="s">
        <v>1627</v>
      </c>
      <c r="K255" t="s">
        <v>9206</v>
      </c>
      <c r="L255" t="s">
        <v>9631</v>
      </c>
      <c r="M255" t="s">
        <v>9208</v>
      </c>
    </row>
    <row r="256" spans="9:13" x14ac:dyDescent="0.25">
      <c r="I256" t="s">
        <v>9632</v>
      </c>
      <c r="J256" t="s">
        <v>4600</v>
      </c>
      <c r="K256" t="s">
        <v>9219</v>
      </c>
      <c r="L256" t="s">
        <v>9633</v>
      </c>
      <c r="M256" t="s">
        <v>9221</v>
      </c>
    </row>
    <row r="257" spans="9:13" x14ac:dyDescent="0.25">
      <c r="I257" t="s">
        <v>9634</v>
      </c>
      <c r="J257" t="s">
        <v>3159</v>
      </c>
      <c r="K257" t="s">
        <v>9635</v>
      </c>
      <c r="L257" t="s">
        <v>9636</v>
      </c>
      <c r="M257" t="s">
        <v>9637</v>
      </c>
    </row>
    <row r="258" spans="9:13" x14ac:dyDescent="0.25">
      <c r="I258" t="s">
        <v>9638</v>
      </c>
      <c r="J258" t="s">
        <v>3995</v>
      </c>
      <c r="K258" t="s">
        <v>9196</v>
      </c>
      <c r="L258" t="s">
        <v>9639</v>
      </c>
      <c r="M258" t="s">
        <v>9198</v>
      </c>
    </row>
    <row r="259" spans="9:13" x14ac:dyDescent="0.25">
      <c r="I259" t="s">
        <v>9640</v>
      </c>
      <c r="J259" t="s">
        <v>2642</v>
      </c>
      <c r="K259" t="s">
        <v>9174</v>
      </c>
      <c r="L259" t="s">
        <v>9641</v>
      </c>
      <c r="M259" t="s">
        <v>9176</v>
      </c>
    </row>
    <row r="260" spans="9:13" x14ac:dyDescent="0.25">
      <c r="I260" t="s">
        <v>9642</v>
      </c>
      <c r="J260" t="s">
        <v>9643</v>
      </c>
      <c r="K260" t="s">
        <v>9644</v>
      </c>
      <c r="L260" t="s">
        <v>9645</v>
      </c>
      <c r="M260" t="s">
        <v>9646</v>
      </c>
    </row>
    <row r="261" spans="9:13" x14ac:dyDescent="0.25">
      <c r="I261" t="s">
        <v>9647</v>
      </c>
      <c r="J261" t="s">
        <v>3095</v>
      </c>
      <c r="K261" t="s">
        <v>9108</v>
      </c>
      <c r="L261" t="s">
        <v>9648</v>
      </c>
      <c r="M261" t="s">
        <v>9110</v>
      </c>
    </row>
    <row r="262" spans="9:13" x14ac:dyDescent="0.25">
      <c r="I262" t="s">
        <v>9649</v>
      </c>
      <c r="J262" t="s">
        <v>1544</v>
      </c>
      <c r="K262" t="s">
        <v>9386</v>
      </c>
      <c r="L262" t="s">
        <v>9650</v>
      </c>
      <c r="M262" t="s">
        <v>9388</v>
      </c>
    </row>
    <row r="263" spans="9:13" x14ac:dyDescent="0.25">
      <c r="I263" t="s">
        <v>9651</v>
      </c>
      <c r="J263" t="s">
        <v>9652</v>
      </c>
      <c r="K263" t="s">
        <v>9187</v>
      </c>
      <c r="L263" t="s">
        <v>9653</v>
      </c>
      <c r="M263" t="s">
        <v>9189</v>
      </c>
    </row>
    <row r="264" spans="9:13" x14ac:dyDescent="0.25">
      <c r="I264" t="s">
        <v>9654</v>
      </c>
      <c r="J264" t="s">
        <v>1167</v>
      </c>
      <c r="K264" t="s">
        <v>9219</v>
      </c>
      <c r="L264" t="s">
        <v>9655</v>
      </c>
      <c r="M264" t="s">
        <v>9221</v>
      </c>
    </row>
    <row r="265" spans="9:13" x14ac:dyDescent="0.25">
      <c r="I265" t="s">
        <v>9656</v>
      </c>
      <c r="J265" t="s">
        <v>5618</v>
      </c>
      <c r="K265" t="s">
        <v>9624</v>
      </c>
      <c r="L265" t="s">
        <v>9657</v>
      </c>
      <c r="M265" t="s">
        <v>9626</v>
      </c>
    </row>
    <row r="266" spans="9:13" x14ac:dyDescent="0.25">
      <c r="I266" t="s">
        <v>9658</v>
      </c>
      <c r="J266" t="s">
        <v>1443</v>
      </c>
      <c r="K266" t="s">
        <v>9152</v>
      </c>
      <c r="L266" t="s">
        <v>9152</v>
      </c>
      <c r="M266" t="s">
        <v>9154</v>
      </c>
    </row>
    <row r="267" spans="9:13" x14ac:dyDescent="0.25">
      <c r="I267" t="s">
        <v>9659</v>
      </c>
      <c r="J267" t="s">
        <v>4322</v>
      </c>
      <c r="K267" t="s">
        <v>9108</v>
      </c>
      <c r="L267" t="s">
        <v>9660</v>
      </c>
      <c r="M267" t="s">
        <v>9110</v>
      </c>
    </row>
    <row r="268" spans="9:13" x14ac:dyDescent="0.25">
      <c r="I268" t="s">
        <v>9661</v>
      </c>
      <c r="J268" t="s">
        <v>3673</v>
      </c>
      <c r="K268" t="s">
        <v>9070</v>
      </c>
      <c r="L268" t="s">
        <v>9662</v>
      </c>
      <c r="M268" t="s">
        <v>9072</v>
      </c>
    </row>
    <row r="269" spans="9:13" x14ac:dyDescent="0.25">
      <c r="I269" t="s">
        <v>9663</v>
      </c>
      <c r="J269" t="s">
        <v>846</v>
      </c>
      <c r="K269" t="s">
        <v>9089</v>
      </c>
      <c r="L269" t="s">
        <v>9664</v>
      </c>
      <c r="M269" t="s">
        <v>9091</v>
      </c>
    </row>
    <row r="270" spans="9:13" x14ac:dyDescent="0.25">
      <c r="I270" t="s">
        <v>9665</v>
      </c>
      <c r="J270" t="s">
        <v>6006</v>
      </c>
      <c r="K270" t="s">
        <v>9219</v>
      </c>
      <c r="L270" t="s">
        <v>9666</v>
      </c>
      <c r="M270" t="s">
        <v>9221</v>
      </c>
    </row>
    <row r="271" spans="9:13" x14ac:dyDescent="0.25">
      <c r="I271" t="s">
        <v>9667</v>
      </c>
      <c r="J271" t="s">
        <v>6340</v>
      </c>
      <c r="K271" t="s">
        <v>9155</v>
      </c>
      <c r="L271" t="s">
        <v>9668</v>
      </c>
      <c r="M271" t="s">
        <v>9157</v>
      </c>
    </row>
    <row r="272" spans="9:13" x14ac:dyDescent="0.25">
      <c r="I272" t="s">
        <v>9669</v>
      </c>
      <c r="J272" t="s">
        <v>8488</v>
      </c>
      <c r="K272" t="s">
        <v>9190</v>
      </c>
      <c r="L272" t="s">
        <v>9670</v>
      </c>
      <c r="M272" t="s">
        <v>9192</v>
      </c>
    </row>
    <row r="273" spans="9:13" x14ac:dyDescent="0.25">
      <c r="I273" t="s">
        <v>9671</v>
      </c>
      <c r="J273" t="s">
        <v>2013</v>
      </c>
      <c r="K273" t="s">
        <v>9098</v>
      </c>
      <c r="L273" t="s">
        <v>9672</v>
      </c>
      <c r="M273" t="s">
        <v>9100</v>
      </c>
    </row>
    <row r="274" spans="9:13" x14ac:dyDescent="0.25">
      <c r="I274" t="s">
        <v>9673</v>
      </c>
      <c r="J274" t="s">
        <v>3583</v>
      </c>
      <c r="K274" t="s">
        <v>9190</v>
      </c>
      <c r="L274" t="s">
        <v>9674</v>
      </c>
      <c r="M274" t="s">
        <v>9192</v>
      </c>
    </row>
    <row r="275" spans="9:13" x14ac:dyDescent="0.25">
      <c r="I275" t="s">
        <v>9675</v>
      </c>
      <c r="J275" t="s">
        <v>5910</v>
      </c>
      <c r="K275" t="s">
        <v>9223</v>
      </c>
      <c r="L275" t="s">
        <v>9676</v>
      </c>
      <c r="M275" t="s">
        <v>9225</v>
      </c>
    </row>
    <row r="276" spans="9:13" x14ac:dyDescent="0.25">
      <c r="I276" t="s">
        <v>9677</v>
      </c>
      <c r="J276" t="s">
        <v>6083</v>
      </c>
      <c r="K276" t="s">
        <v>9174</v>
      </c>
      <c r="L276" t="s">
        <v>9678</v>
      </c>
      <c r="M276" t="s">
        <v>9176</v>
      </c>
    </row>
    <row r="277" spans="9:13" x14ac:dyDescent="0.25">
      <c r="I277" t="s">
        <v>9679</v>
      </c>
      <c r="J277" t="s">
        <v>1589</v>
      </c>
      <c r="K277" t="s">
        <v>9171</v>
      </c>
      <c r="L277" t="s">
        <v>9680</v>
      </c>
      <c r="M277" t="s">
        <v>9171</v>
      </c>
    </row>
    <row r="278" spans="9:13" x14ac:dyDescent="0.25">
      <c r="I278" t="s">
        <v>9681</v>
      </c>
      <c r="J278" t="s">
        <v>362</v>
      </c>
      <c r="K278" t="s">
        <v>9267</v>
      </c>
      <c r="L278" t="s">
        <v>9682</v>
      </c>
      <c r="M278" t="s">
        <v>9269</v>
      </c>
    </row>
    <row r="279" spans="9:13" x14ac:dyDescent="0.25">
      <c r="I279" t="s">
        <v>9683</v>
      </c>
      <c r="J279" t="s">
        <v>5898</v>
      </c>
      <c r="K279" t="s">
        <v>9095</v>
      </c>
      <c r="L279" t="s">
        <v>9684</v>
      </c>
      <c r="M279" t="s">
        <v>9095</v>
      </c>
    </row>
    <row r="280" spans="9:13" x14ac:dyDescent="0.25">
      <c r="I280" t="s">
        <v>9685</v>
      </c>
      <c r="J280" t="s">
        <v>3058</v>
      </c>
      <c r="K280" t="s">
        <v>9098</v>
      </c>
      <c r="L280" t="s">
        <v>9686</v>
      </c>
      <c r="M280" t="s">
        <v>9100</v>
      </c>
    </row>
    <row r="281" spans="9:13" x14ac:dyDescent="0.25">
      <c r="I281" t="s">
        <v>9687</v>
      </c>
      <c r="J281" t="s">
        <v>1581</v>
      </c>
      <c r="K281" t="s">
        <v>9112</v>
      </c>
      <c r="L281" t="s">
        <v>9688</v>
      </c>
      <c r="M281" t="s">
        <v>9114</v>
      </c>
    </row>
    <row r="282" spans="9:13" x14ac:dyDescent="0.25">
      <c r="I282" t="s">
        <v>9689</v>
      </c>
      <c r="J282" t="s">
        <v>558</v>
      </c>
      <c r="K282" t="s">
        <v>9112</v>
      </c>
      <c r="L282" t="s">
        <v>9690</v>
      </c>
      <c r="M282" t="s">
        <v>9114</v>
      </c>
    </row>
    <row r="283" spans="9:13" x14ac:dyDescent="0.25">
      <c r="I283" t="s">
        <v>9691</v>
      </c>
      <c r="J283" t="s">
        <v>717</v>
      </c>
      <c r="K283" t="s">
        <v>9223</v>
      </c>
      <c r="L283" t="s">
        <v>9692</v>
      </c>
      <c r="M283" t="s">
        <v>9225</v>
      </c>
    </row>
    <row r="284" spans="9:13" x14ac:dyDescent="0.25">
      <c r="I284" t="s">
        <v>9693</v>
      </c>
      <c r="J284" t="s">
        <v>1258</v>
      </c>
      <c r="K284" t="s">
        <v>9161</v>
      </c>
      <c r="L284" t="s">
        <v>9694</v>
      </c>
      <c r="M284" t="s">
        <v>9163</v>
      </c>
    </row>
    <row r="285" spans="9:13" x14ac:dyDescent="0.25">
      <c r="I285" t="s">
        <v>9695</v>
      </c>
      <c r="J285" t="s">
        <v>7636</v>
      </c>
      <c r="K285" t="s">
        <v>9412</v>
      </c>
      <c r="L285" t="s">
        <v>9696</v>
      </c>
      <c r="M285" t="s">
        <v>9414</v>
      </c>
    </row>
    <row r="286" spans="9:13" x14ac:dyDescent="0.25">
      <c r="I286" t="s">
        <v>9697</v>
      </c>
      <c r="J286" t="s">
        <v>5195</v>
      </c>
      <c r="K286" t="s">
        <v>9123</v>
      </c>
      <c r="L286" t="s">
        <v>9698</v>
      </c>
      <c r="M286" t="s">
        <v>9125</v>
      </c>
    </row>
    <row r="287" spans="9:13" x14ac:dyDescent="0.25">
      <c r="I287" t="s">
        <v>9699</v>
      </c>
      <c r="J287" t="s">
        <v>2422</v>
      </c>
      <c r="K287" t="s">
        <v>9700</v>
      </c>
      <c r="L287" t="s">
        <v>9701</v>
      </c>
      <c r="M287" t="s">
        <v>9702</v>
      </c>
    </row>
    <row r="288" spans="9:13" x14ac:dyDescent="0.25">
      <c r="I288" t="s">
        <v>9703</v>
      </c>
      <c r="J288" t="s">
        <v>654</v>
      </c>
      <c r="K288" t="s">
        <v>9187</v>
      </c>
      <c r="L288" t="s">
        <v>9704</v>
      </c>
      <c r="M288" t="s">
        <v>9189</v>
      </c>
    </row>
    <row r="289" spans="9:13" x14ac:dyDescent="0.25">
      <c r="I289" t="s">
        <v>9705</v>
      </c>
      <c r="J289" t="s">
        <v>8462</v>
      </c>
      <c r="K289" t="s">
        <v>9280</v>
      </c>
      <c r="L289" t="s">
        <v>9706</v>
      </c>
      <c r="M289" t="s">
        <v>9282</v>
      </c>
    </row>
    <row r="290" spans="9:13" x14ac:dyDescent="0.25">
      <c r="I290" t="s">
        <v>9707</v>
      </c>
      <c r="J290" t="s">
        <v>4000</v>
      </c>
      <c r="K290" t="s">
        <v>9231</v>
      </c>
      <c r="L290" t="s">
        <v>9708</v>
      </c>
      <c r="M290" t="s">
        <v>9233</v>
      </c>
    </row>
    <row r="291" spans="9:13" x14ac:dyDescent="0.25">
      <c r="I291" t="s">
        <v>9709</v>
      </c>
      <c r="J291" t="s">
        <v>3019</v>
      </c>
      <c r="K291" t="s">
        <v>9467</v>
      </c>
      <c r="L291" t="s">
        <v>9710</v>
      </c>
      <c r="M291" t="s">
        <v>9469</v>
      </c>
    </row>
    <row r="292" spans="9:13" x14ac:dyDescent="0.25">
      <c r="I292" t="s">
        <v>9711</v>
      </c>
      <c r="J292" t="s">
        <v>2087</v>
      </c>
      <c r="K292" t="s">
        <v>9712</v>
      </c>
      <c r="L292" t="s">
        <v>9713</v>
      </c>
      <c r="M292" t="s">
        <v>9714</v>
      </c>
    </row>
    <row r="293" spans="9:13" x14ac:dyDescent="0.25">
      <c r="I293" t="s">
        <v>9715</v>
      </c>
      <c r="J293" t="s">
        <v>4838</v>
      </c>
      <c r="K293" t="s">
        <v>9174</v>
      </c>
      <c r="L293" t="s">
        <v>9716</v>
      </c>
      <c r="M293" t="s">
        <v>9176</v>
      </c>
    </row>
    <row r="294" spans="9:13" x14ac:dyDescent="0.25">
      <c r="I294" t="s">
        <v>9717</v>
      </c>
      <c r="J294" t="s">
        <v>1880</v>
      </c>
      <c r="K294" t="s">
        <v>9438</v>
      </c>
      <c r="L294" t="s">
        <v>9718</v>
      </c>
      <c r="M294" t="s">
        <v>9440</v>
      </c>
    </row>
    <row r="295" spans="9:13" x14ac:dyDescent="0.25">
      <c r="I295" t="s">
        <v>9719</v>
      </c>
      <c r="J295" t="s">
        <v>4766</v>
      </c>
      <c r="K295" t="s">
        <v>9108</v>
      </c>
      <c r="L295" t="s">
        <v>9720</v>
      </c>
      <c r="M295" t="s">
        <v>9110</v>
      </c>
    </row>
    <row r="296" spans="9:13" x14ac:dyDescent="0.25">
      <c r="I296" t="s">
        <v>9721</v>
      </c>
      <c r="J296" t="s">
        <v>9722</v>
      </c>
      <c r="K296" t="s">
        <v>9223</v>
      </c>
      <c r="L296" t="s">
        <v>9723</v>
      </c>
      <c r="M296" t="s">
        <v>9225</v>
      </c>
    </row>
    <row r="297" spans="9:13" x14ac:dyDescent="0.25">
      <c r="I297" t="s">
        <v>9724</v>
      </c>
      <c r="J297" t="s">
        <v>2084</v>
      </c>
      <c r="K297" t="s">
        <v>9644</v>
      </c>
      <c r="L297" t="s">
        <v>9725</v>
      </c>
      <c r="M297" t="s">
        <v>9646</v>
      </c>
    </row>
    <row r="298" spans="9:13" x14ac:dyDescent="0.25">
      <c r="I298" t="s">
        <v>9726</v>
      </c>
      <c r="J298" t="s">
        <v>5312</v>
      </c>
      <c r="K298" t="s">
        <v>9123</v>
      </c>
      <c r="L298" t="s">
        <v>9727</v>
      </c>
      <c r="M298" t="s">
        <v>9125</v>
      </c>
    </row>
    <row r="299" spans="9:13" x14ac:dyDescent="0.25">
      <c r="I299" t="s">
        <v>9728</v>
      </c>
      <c r="J299" t="s">
        <v>1607</v>
      </c>
      <c r="K299" t="s">
        <v>9288</v>
      </c>
      <c r="L299" t="s">
        <v>9729</v>
      </c>
      <c r="M299" t="s">
        <v>9290</v>
      </c>
    </row>
    <row r="300" spans="9:13" x14ac:dyDescent="0.25">
      <c r="I300" t="s">
        <v>9730</v>
      </c>
      <c r="J300" t="s">
        <v>4317</v>
      </c>
      <c r="K300" t="s">
        <v>9174</v>
      </c>
      <c r="L300" t="s">
        <v>9731</v>
      </c>
      <c r="M300" t="s">
        <v>9176</v>
      </c>
    </row>
    <row r="301" spans="9:13" x14ac:dyDescent="0.25">
      <c r="I301" t="s">
        <v>9732</v>
      </c>
      <c r="J301" t="s">
        <v>9733</v>
      </c>
      <c r="K301" t="s">
        <v>9280</v>
      </c>
      <c r="L301" t="s">
        <v>9734</v>
      </c>
      <c r="M301" t="s">
        <v>9282</v>
      </c>
    </row>
    <row r="302" spans="9:13" x14ac:dyDescent="0.25">
      <c r="I302" t="s">
        <v>9735</v>
      </c>
      <c r="J302" t="s">
        <v>3339</v>
      </c>
      <c r="K302" t="s">
        <v>9331</v>
      </c>
      <c r="L302" t="s">
        <v>9736</v>
      </c>
      <c r="M302" t="s">
        <v>9333</v>
      </c>
    </row>
    <row r="303" spans="9:13" x14ac:dyDescent="0.25">
      <c r="I303" t="s">
        <v>9737</v>
      </c>
      <c r="J303" t="s">
        <v>6179</v>
      </c>
      <c r="K303" t="s">
        <v>9174</v>
      </c>
      <c r="L303" t="s">
        <v>9738</v>
      </c>
      <c r="M303" t="s">
        <v>9176</v>
      </c>
    </row>
    <row r="304" spans="9:13" x14ac:dyDescent="0.25">
      <c r="I304" t="s">
        <v>9739</v>
      </c>
      <c r="J304" t="s">
        <v>4541</v>
      </c>
      <c r="K304" t="s">
        <v>9386</v>
      </c>
      <c r="L304" t="s">
        <v>9740</v>
      </c>
      <c r="M304" t="s">
        <v>9388</v>
      </c>
    </row>
    <row r="305" spans="9:13" x14ac:dyDescent="0.25">
      <c r="I305" t="s">
        <v>9741</v>
      </c>
      <c r="J305" t="s">
        <v>2640</v>
      </c>
      <c r="K305" t="s">
        <v>9161</v>
      </c>
      <c r="L305" t="s">
        <v>9742</v>
      </c>
      <c r="M305" t="s">
        <v>9163</v>
      </c>
    </row>
    <row r="306" spans="9:13" x14ac:dyDescent="0.25">
      <c r="I306" t="s">
        <v>9743</v>
      </c>
      <c r="J306" t="s">
        <v>2028</v>
      </c>
      <c r="K306" t="s">
        <v>9288</v>
      </c>
      <c r="L306" t="s">
        <v>9744</v>
      </c>
      <c r="M306" t="s">
        <v>9290</v>
      </c>
    </row>
    <row r="307" spans="9:13" x14ac:dyDescent="0.25">
      <c r="I307" t="s">
        <v>9745</v>
      </c>
      <c r="J307" t="s">
        <v>4725</v>
      </c>
      <c r="K307" t="s">
        <v>9161</v>
      </c>
      <c r="L307" t="s">
        <v>9746</v>
      </c>
      <c r="M307" t="s">
        <v>9163</v>
      </c>
    </row>
    <row r="308" spans="9:13" x14ac:dyDescent="0.25">
      <c r="I308" t="s">
        <v>9747</v>
      </c>
      <c r="J308" t="s">
        <v>217</v>
      </c>
      <c r="K308" t="s">
        <v>9136</v>
      </c>
      <c r="L308" t="s">
        <v>9748</v>
      </c>
      <c r="M308" t="s">
        <v>9138</v>
      </c>
    </row>
    <row r="309" spans="9:13" x14ac:dyDescent="0.25">
      <c r="I309" t="s">
        <v>9749</v>
      </c>
      <c r="J309" t="s">
        <v>3278</v>
      </c>
      <c r="K309" t="s">
        <v>9155</v>
      </c>
      <c r="L309" t="s">
        <v>9750</v>
      </c>
      <c r="M309" t="s">
        <v>9157</v>
      </c>
    </row>
    <row r="310" spans="9:13" x14ac:dyDescent="0.25">
      <c r="I310" t="s">
        <v>9751</v>
      </c>
      <c r="J310" t="s">
        <v>3073</v>
      </c>
      <c r="K310" t="s">
        <v>9219</v>
      </c>
      <c r="L310" t="s">
        <v>9752</v>
      </c>
      <c r="M310" t="s">
        <v>9221</v>
      </c>
    </row>
    <row r="311" spans="9:13" x14ac:dyDescent="0.25">
      <c r="I311" t="s">
        <v>9753</v>
      </c>
      <c r="J311" t="s">
        <v>1071</v>
      </c>
      <c r="K311" t="s">
        <v>9098</v>
      </c>
      <c r="L311" t="s">
        <v>9754</v>
      </c>
      <c r="M311" t="s">
        <v>9100</v>
      </c>
    </row>
    <row r="312" spans="9:13" x14ac:dyDescent="0.25">
      <c r="I312" t="s">
        <v>9755</v>
      </c>
      <c r="J312" t="s">
        <v>5829</v>
      </c>
      <c r="K312" t="s">
        <v>9219</v>
      </c>
      <c r="L312" t="s">
        <v>9756</v>
      </c>
      <c r="M312" t="s">
        <v>9221</v>
      </c>
    </row>
    <row r="313" spans="9:13" x14ac:dyDescent="0.25">
      <c r="I313" t="s">
        <v>9757</v>
      </c>
      <c r="J313" t="s">
        <v>3970</v>
      </c>
      <c r="K313" t="s">
        <v>9284</v>
      </c>
      <c r="L313" t="s">
        <v>9758</v>
      </c>
      <c r="M313" t="s">
        <v>9286</v>
      </c>
    </row>
    <row r="314" spans="9:13" x14ac:dyDescent="0.25">
      <c r="I314" t="s">
        <v>9759</v>
      </c>
      <c r="J314" t="s">
        <v>6719</v>
      </c>
      <c r="K314" t="s">
        <v>9386</v>
      </c>
      <c r="L314" t="s">
        <v>9760</v>
      </c>
      <c r="M314" t="s">
        <v>9388</v>
      </c>
    </row>
    <row r="315" spans="9:13" x14ac:dyDescent="0.25">
      <c r="I315" t="s">
        <v>9761</v>
      </c>
      <c r="J315" t="s">
        <v>4189</v>
      </c>
      <c r="K315" t="s">
        <v>9118</v>
      </c>
      <c r="L315" t="s">
        <v>9762</v>
      </c>
      <c r="M315" t="s">
        <v>9120</v>
      </c>
    </row>
    <row r="316" spans="9:13" x14ac:dyDescent="0.25">
      <c r="I316" t="s">
        <v>9763</v>
      </c>
      <c r="J316" t="s">
        <v>5807</v>
      </c>
      <c r="K316" t="s">
        <v>9161</v>
      </c>
      <c r="L316" t="s">
        <v>9764</v>
      </c>
      <c r="M316" t="s">
        <v>9163</v>
      </c>
    </row>
    <row r="317" spans="9:13" x14ac:dyDescent="0.25">
      <c r="I317" t="s">
        <v>9765</v>
      </c>
      <c r="J317" t="s">
        <v>2321</v>
      </c>
      <c r="K317" t="s">
        <v>9267</v>
      </c>
      <c r="L317" t="s">
        <v>9766</v>
      </c>
      <c r="M317" t="s">
        <v>9269</v>
      </c>
    </row>
    <row r="318" spans="9:13" x14ac:dyDescent="0.25">
      <c r="I318" t="s">
        <v>9767</v>
      </c>
      <c r="J318" t="s">
        <v>1993</v>
      </c>
      <c r="K318" t="s">
        <v>9105</v>
      </c>
      <c r="L318" t="s">
        <v>9768</v>
      </c>
      <c r="M318" t="s">
        <v>9107</v>
      </c>
    </row>
    <row r="319" spans="9:13" x14ac:dyDescent="0.25">
      <c r="I319" t="s">
        <v>9769</v>
      </c>
      <c r="J319" t="s">
        <v>9770</v>
      </c>
      <c r="K319" t="s">
        <v>9112</v>
      </c>
      <c r="L319" t="s">
        <v>9771</v>
      </c>
      <c r="M319" t="s">
        <v>9114</v>
      </c>
    </row>
    <row r="320" spans="9:13" x14ac:dyDescent="0.25">
      <c r="I320" t="s">
        <v>9772</v>
      </c>
      <c r="J320" t="s">
        <v>1833</v>
      </c>
      <c r="K320" t="s">
        <v>9304</v>
      </c>
      <c r="L320" t="s">
        <v>9773</v>
      </c>
      <c r="M320" t="s">
        <v>9306</v>
      </c>
    </row>
    <row r="321" spans="9:13" x14ac:dyDescent="0.25">
      <c r="I321" t="s">
        <v>9774</v>
      </c>
      <c r="J321" t="s">
        <v>8806</v>
      </c>
      <c r="K321" t="s">
        <v>9098</v>
      </c>
      <c r="L321" t="s">
        <v>9775</v>
      </c>
      <c r="M321" t="s">
        <v>9100</v>
      </c>
    </row>
    <row r="322" spans="9:13" x14ac:dyDescent="0.25">
      <c r="I322" t="s">
        <v>9776</v>
      </c>
      <c r="J322" t="s">
        <v>2573</v>
      </c>
      <c r="K322" t="s">
        <v>9136</v>
      </c>
      <c r="L322" t="s">
        <v>9777</v>
      </c>
      <c r="M322" t="s">
        <v>9138</v>
      </c>
    </row>
    <row r="323" spans="9:13" x14ac:dyDescent="0.25">
      <c r="I323" t="s">
        <v>9778</v>
      </c>
      <c r="J323" t="s">
        <v>1325</v>
      </c>
      <c r="K323" t="s">
        <v>9644</v>
      </c>
      <c r="L323" t="s">
        <v>9779</v>
      </c>
      <c r="M323" t="s">
        <v>9646</v>
      </c>
    </row>
    <row r="324" spans="9:13" x14ac:dyDescent="0.25">
      <c r="I324" t="s">
        <v>9780</v>
      </c>
      <c r="J324" t="s">
        <v>3050</v>
      </c>
      <c r="K324" t="s">
        <v>9781</v>
      </c>
      <c r="L324" t="s">
        <v>9782</v>
      </c>
      <c r="M324" t="s">
        <v>9783</v>
      </c>
    </row>
    <row r="325" spans="9:13" x14ac:dyDescent="0.25">
      <c r="I325" t="s">
        <v>9784</v>
      </c>
      <c r="J325" t="s">
        <v>7559</v>
      </c>
      <c r="K325" t="s">
        <v>9095</v>
      </c>
      <c r="L325" t="s">
        <v>9785</v>
      </c>
      <c r="M325" t="s">
        <v>9095</v>
      </c>
    </row>
    <row r="326" spans="9:13" x14ac:dyDescent="0.25">
      <c r="I326" t="s">
        <v>9786</v>
      </c>
      <c r="J326" t="s">
        <v>2804</v>
      </c>
      <c r="K326" t="s">
        <v>9219</v>
      </c>
      <c r="L326" t="s">
        <v>9787</v>
      </c>
      <c r="M326" t="s">
        <v>9221</v>
      </c>
    </row>
    <row r="327" spans="9:13" x14ac:dyDescent="0.25">
      <c r="I327" t="s">
        <v>9788</v>
      </c>
      <c r="J327" t="s">
        <v>9789</v>
      </c>
      <c r="K327" t="s">
        <v>9155</v>
      </c>
      <c r="L327" t="s">
        <v>9790</v>
      </c>
      <c r="M327" t="s">
        <v>9157</v>
      </c>
    </row>
    <row r="328" spans="9:13" x14ac:dyDescent="0.25">
      <c r="I328" t="s">
        <v>9791</v>
      </c>
      <c r="J328" t="s">
        <v>9792</v>
      </c>
      <c r="K328" t="s">
        <v>9280</v>
      </c>
      <c r="L328" t="s">
        <v>9793</v>
      </c>
      <c r="M328" t="s">
        <v>9282</v>
      </c>
    </row>
    <row r="329" spans="9:13" x14ac:dyDescent="0.25">
      <c r="I329" t="s">
        <v>9794</v>
      </c>
      <c r="J329" t="s">
        <v>8664</v>
      </c>
      <c r="K329" t="s">
        <v>9288</v>
      </c>
      <c r="L329" t="s">
        <v>9795</v>
      </c>
      <c r="M329" t="s">
        <v>9290</v>
      </c>
    </row>
    <row r="330" spans="9:13" x14ac:dyDescent="0.25">
      <c r="I330" t="s">
        <v>9796</v>
      </c>
      <c r="J330" t="s">
        <v>8420</v>
      </c>
      <c r="K330" t="s">
        <v>9231</v>
      </c>
      <c r="L330" t="s">
        <v>9797</v>
      </c>
      <c r="M330" t="s">
        <v>9233</v>
      </c>
    </row>
    <row r="331" spans="9:13" x14ac:dyDescent="0.25">
      <c r="I331" t="s">
        <v>9798</v>
      </c>
      <c r="J331" t="s">
        <v>4522</v>
      </c>
      <c r="K331" t="s">
        <v>9550</v>
      </c>
      <c r="L331" t="s">
        <v>9799</v>
      </c>
      <c r="M331" t="s">
        <v>9552</v>
      </c>
    </row>
    <row r="332" spans="9:13" x14ac:dyDescent="0.25">
      <c r="I332" t="s">
        <v>9800</v>
      </c>
      <c r="J332" t="s">
        <v>4972</v>
      </c>
      <c r="K332" t="s">
        <v>9095</v>
      </c>
      <c r="L332" t="s">
        <v>9801</v>
      </c>
      <c r="M332" t="s">
        <v>9095</v>
      </c>
    </row>
    <row r="333" spans="9:13" x14ac:dyDescent="0.25">
      <c r="I333" t="s">
        <v>9802</v>
      </c>
      <c r="J333" t="s">
        <v>1393</v>
      </c>
      <c r="K333" t="s">
        <v>9331</v>
      </c>
      <c r="L333" t="s">
        <v>9803</v>
      </c>
      <c r="M333" t="s">
        <v>9333</v>
      </c>
    </row>
    <row r="334" spans="9:13" x14ac:dyDescent="0.25">
      <c r="I334" t="s">
        <v>9804</v>
      </c>
      <c r="J334" t="s">
        <v>7292</v>
      </c>
      <c r="K334" t="s">
        <v>9174</v>
      </c>
      <c r="L334" t="s">
        <v>9805</v>
      </c>
      <c r="M334" t="s">
        <v>9176</v>
      </c>
    </row>
    <row r="335" spans="9:13" x14ac:dyDescent="0.25">
      <c r="I335" t="s">
        <v>9806</v>
      </c>
      <c r="J335" t="s">
        <v>6314</v>
      </c>
      <c r="K335" t="s">
        <v>9174</v>
      </c>
      <c r="L335" t="s">
        <v>9807</v>
      </c>
      <c r="M335" t="s">
        <v>9176</v>
      </c>
    </row>
    <row r="336" spans="9:13" x14ac:dyDescent="0.25">
      <c r="I336" t="s">
        <v>9808</v>
      </c>
      <c r="J336" t="s">
        <v>9809</v>
      </c>
      <c r="K336" t="s">
        <v>9136</v>
      </c>
      <c r="L336" t="s">
        <v>9810</v>
      </c>
      <c r="M336" t="s">
        <v>9138</v>
      </c>
    </row>
    <row r="337" spans="9:13" x14ac:dyDescent="0.25">
      <c r="I337" t="s">
        <v>9811</v>
      </c>
      <c r="J337" t="s">
        <v>38</v>
      </c>
      <c r="K337" t="s">
        <v>9136</v>
      </c>
      <c r="L337" t="s">
        <v>9812</v>
      </c>
      <c r="M337" t="s">
        <v>9138</v>
      </c>
    </row>
    <row r="338" spans="9:13" x14ac:dyDescent="0.25">
      <c r="I338" t="s">
        <v>9813</v>
      </c>
      <c r="J338" t="s">
        <v>2649</v>
      </c>
      <c r="K338" t="s">
        <v>9223</v>
      </c>
      <c r="L338" t="s">
        <v>9814</v>
      </c>
      <c r="M338" t="s">
        <v>9225</v>
      </c>
    </row>
    <row r="339" spans="9:13" x14ac:dyDescent="0.25">
      <c r="I339" t="s">
        <v>9815</v>
      </c>
      <c r="J339" t="s">
        <v>2481</v>
      </c>
      <c r="K339" t="s">
        <v>9434</v>
      </c>
      <c r="L339" t="s">
        <v>9816</v>
      </c>
      <c r="M339" t="s">
        <v>9436</v>
      </c>
    </row>
    <row r="340" spans="9:13" x14ac:dyDescent="0.25">
      <c r="I340" t="s">
        <v>9817</v>
      </c>
      <c r="J340" t="s">
        <v>2230</v>
      </c>
      <c r="K340" t="s">
        <v>9231</v>
      </c>
      <c r="L340" t="s">
        <v>9818</v>
      </c>
      <c r="M340" t="s">
        <v>9233</v>
      </c>
    </row>
    <row r="341" spans="9:13" x14ac:dyDescent="0.25">
      <c r="I341" t="s">
        <v>9819</v>
      </c>
      <c r="J341" t="s">
        <v>456</v>
      </c>
      <c r="K341" t="s">
        <v>9712</v>
      </c>
      <c r="L341" t="s">
        <v>9820</v>
      </c>
      <c r="M341" t="s">
        <v>9714</v>
      </c>
    </row>
    <row r="342" spans="9:13" x14ac:dyDescent="0.25">
      <c r="I342" t="s">
        <v>9821</v>
      </c>
      <c r="J342" t="s">
        <v>3426</v>
      </c>
      <c r="K342" t="s">
        <v>9174</v>
      </c>
      <c r="L342" t="s">
        <v>9822</v>
      </c>
      <c r="M342" t="s">
        <v>9176</v>
      </c>
    </row>
    <row r="343" spans="9:13" x14ac:dyDescent="0.25">
      <c r="I343" t="s">
        <v>9823</v>
      </c>
      <c r="J343" t="s">
        <v>988</v>
      </c>
      <c r="K343" t="s">
        <v>9089</v>
      </c>
      <c r="L343" t="s">
        <v>9824</v>
      </c>
      <c r="M343" t="s">
        <v>9091</v>
      </c>
    </row>
    <row r="344" spans="9:13" x14ac:dyDescent="0.25">
      <c r="I344" t="s">
        <v>9825</v>
      </c>
      <c r="J344" t="s">
        <v>5338</v>
      </c>
      <c r="K344" t="s">
        <v>9155</v>
      </c>
      <c r="L344" t="s">
        <v>9826</v>
      </c>
      <c r="M344" t="s">
        <v>9157</v>
      </c>
    </row>
    <row r="345" spans="9:13" x14ac:dyDescent="0.25">
      <c r="I345" t="s">
        <v>9827</v>
      </c>
      <c r="J345" t="s">
        <v>5527</v>
      </c>
      <c r="K345" t="s">
        <v>9223</v>
      </c>
      <c r="L345" t="s">
        <v>9828</v>
      </c>
      <c r="M345" t="s">
        <v>9225</v>
      </c>
    </row>
    <row r="346" spans="9:13" x14ac:dyDescent="0.25">
      <c r="I346" t="s">
        <v>9829</v>
      </c>
      <c r="J346" t="s">
        <v>8844</v>
      </c>
      <c r="K346" t="s">
        <v>9174</v>
      </c>
      <c r="L346" t="s">
        <v>9830</v>
      </c>
      <c r="M346" t="s">
        <v>9176</v>
      </c>
    </row>
    <row r="347" spans="9:13" x14ac:dyDescent="0.25">
      <c r="I347" t="s">
        <v>9831</v>
      </c>
      <c r="J347" t="s">
        <v>9832</v>
      </c>
      <c r="K347" t="s">
        <v>9182</v>
      </c>
      <c r="L347" t="s">
        <v>9833</v>
      </c>
      <c r="M347" t="s">
        <v>9184</v>
      </c>
    </row>
    <row r="348" spans="9:13" x14ac:dyDescent="0.25">
      <c r="I348" t="s">
        <v>9834</v>
      </c>
      <c r="J348" t="s">
        <v>1487</v>
      </c>
      <c r="K348" t="s">
        <v>9284</v>
      </c>
      <c r="L348" t="s">
        <v>9835</v>
      </c>
      <c r="M348" t="s">
        <v>9286</v>
      </c>
    </row>
    <row r="349" spans="9:13" x14ac:dyDescent="0.25">
      <c r="I349" t="s">
        <v>9836</v>
      </c>
      <c r="J349" t="s">
        <v>6967</v>
      </c>
      <c r="K349" t="s">
        <v>9174</v>
      </c>
      <c r="L349" t="s">
        <v>9837</v>
      </c>
      <c r="M349" t="s">
        <v>9176</v>
      </c>
    </row>
    <row r="350" spans="9:13" x14ac:dyDescent="0.25">
      <c r="I350" t="s">
        <v>9838</v>
      </c>
      <c r="J350" t="s">
        <v>3027</v>
      </c>
      <c r="K350" t="s">
        <v>9284</v>
      </c>
      <c r="L350" t="s">
        <v>9839</v>
      </c>
      <c r="M350" t="s">
        <v>9286</v>
      </c>
    </row>
    <row r="351" spans="9:13" x14ac:dyDescent="0.25">
      <c r="I351" t="s">
        <v>9840</v>
      </c>
      <c r="J351" t="s">
        <v>9841</v>
      </c>
      <c r="K351" t="s">
        <v>9084</v>
      </c>
      <c r="L351" t="s">
        <v>9842</v>
      </c>
      <c r="M351" t="s">
        <v>9086</v>
      </c>
    </row>
    <row r="352" spans="9:13" x14ac:dyDescent="0.25">
      <c r="I352" t="s">
        <v>9843</v>
      </c>
      <c r="J352" t="s">
        <v>1784</v>
      </c>
      <c r="K352" t="s">
        <v>9284</v>
      </c>
      <c r="L352" t="s">
        <v>9844</v>
      </c>
      <c r="M352" t="s">
        <v>9286</v>
      </c>
    </row>
    <row r="353" spans="9:13" x14ac:dyDescent="0.25">
      <c r="I353" t="s">
        <v>9845</v>
      </c>
      <c r="J353" t="s">
        <v>1979</v>
      </c>
      <c r="K353" t="s">
        <v>9123</v>
      </c>
      <c r="L353" t="s">
        <v>9846</v>
      </c>
      <c r="M353" t="s">
        <v>9125</v>
      </c>
    </row>
    <row r="354" spans="9:13" x14ac:dyDescent="0.25">
      <c r="I354" t="s">
        <v>9847</v>
      </c>
      <c r="J354" t="s">
        <v>1742</v>
      </c>
      <c r="K354" t="s">
        <v>9267</v>
      </c>
      <c r="L354" t="s">
        <v>9848</v>
      </c>
      <c r="M354" t="s">
        <v>9269</v>
      </c>
    </row>
    <row r="355" spans="9:13" x14ac:dyDescent="0.25">
      <c r="I355" t="s">
        <v>9849</v>
      </c>
      <c r="J355" t="s">
        <v>8446</v>
      </c>
      <c r="K355" t="s">
        <v>9231</v>
      </c>
      <c r="L355" t="s">
        <v>9850</v>
      </c>
      <c r="M355" t="s">
        <v>9233</v>
      </c>
    </row>
    <row r="356" spans="9:13" x14ac:dyDescent="0.25">
      <c r="I356" t="s">
        <v>9851</v>
      </c>
      <c r="J356" t="s">
        <v>9852</v>
      </c>
      <c r="K356" t="s">
        <v>9223</v>
      </c>
      <c r="L356" t="s">
        <v>9853</v>
      </c>
      <c r="M356" t="s">
        <v>9225</v>
      </c>
    </row>
    <row r="357" spans="9:13" x14ac:dyDescent="0.25">
      <c r="I357" t="s">
        <v>9854</v>
      </c>
      <c r="J357" t="s">
        <v>3660</v>
      </c>
      <c r="K357" t="s">
        <v>9182</v>
      </c>
      <c r="L357" t="s">
        <v>9855</v>
      </c>
      <c r="M357" t="s">
        <v>9184</v>
      </c>
    </row>
    <row r="358" spans="9:13" x14ac:dyDescent="0.25">
      <c r="I358" t="s">
        <v>9856</v>
      </c>
      <c r="J358" t="s">
        <v>8766</v>
      </c>
      <c r="K358" t="s">
        <v>9098</v>
      </c>
      <c r="L358" t="s">
        <v>9857</v>
      </c>
      <c r="M358" t="s">
        <v>9100</v>
      </c>
    </row>
    <row r="359" spans="9:13" x14ac:dyDescent="0.25">
      <c r="I359" t="s">
        <v>9858</v>
      </c>
      <c r="J359" t="s">
        <v>4877</v>
      </c>
      <c r="K359" t="s">
        <v>9223</v>
      </c>
      <c r="L359" t="s">
        <v>9859</v>
      </c>
      <c r="M359" t="s">
        <v>9225</v>
      </c>
    </row>
    <row r="360" spans="9:13" x14ac:dyDescent="0.25">
      <c r="I360" t="s">
        <v>9860</v>
      </c>
      <c r="J360" t="s">
        <v>9861</v>
      </c>
      <c r="K360" t="s">
        <v>9034</v>
      </c>
      <c r="L360" t="s">
        <v>9862</v>
      </c>
      <c r="M360" t="s">
        <v>9069</v>
      </c>
    </row>
    <row r="361" spans="9:13" x14ac:dyDescent="0.25">
      <c r="I361" t="s">
        <v>9863</v>
      </c>
      <c r="J361" t="s">
        <v>4898</v>
      </c>
      <c r="K361" t="s">
        <v>9095</v>
      </c>
      <c r="L361" t="s">
        <v>9864</v>
      </c>
      <c r="M361" t="s">
        <v>9095</v>
      </c>
    </row>
    <row r="362" spans="9:13" x14ac:dyDescent="0.25">
      <c r="I362" t="s">
        <v>9865</v>
      </c>
      <c r="J362" t="s">
        <v>9866</v>
      </c>
      <c r="K362" t="s">
        <v>9223</v>
      </c>
      <c r="L362" t="s">
        <v>9867</v>
      </c>
      <c r="M362" t="s">
        <v>9225</v>
      </c>
    </row>
    <row r="363" spans="9:13" x14ac:dyDescent="0.25">
      <c r="I363" t="s">
        <v>9868</v>
      </c>
      <c r="J363" t="s">
        <v>3129</v>
      </c>
      <c r="K363" t="s">
        <v>9288</v>
      </c>
      <c r="L363" t="s">
        <v>9869</v>
      </c>
      <c r="M363" t="s">
        <v>9290</v>
      </c>
    </row>
    <row r="364" spans="9:13" x14ac:dyDescent="0.25">
      <c r="I364" t="s">
        <v>9870</v>
      </c>
      <c r="J364" t="s">
        <v>9871</v>
      </c>
      <c r="K364" t="s">
        <v>9102</v>
      </c>
      <c r="L364" t="s">
        <v>9872</v>
      </c>
      <c r="M364" t="s">
        <v>9104</v>
      </c>
    </row>
    <row r="365" spans="9:13" x14ac:dyDescent="0.25">
      <c r="I365" t="s">
        <v>9873</v>
      </c>
      <c r="J365" t="s">
        <v>1557</v>
      </c>
      <c r="K365" t="s">
        <v>9098</v>
      </c>
      <c r="L365" t="s">
        <v>9874</v>
      </c>
      <c r="M365" t="s">
        <v>9100</v>
      </c>
    </row>
    <row r="366" spans="9:13" x14ac:dyDescent="0.25">
      <c r="I366" t="s">
        <v>9875</v>
      </c>
      <c r="J366" t="s">
        <v>8712</v>
      </c>
      <c r="K366" t="s">
        <v>9174</v>
      </c>
      <c r="L366" t="s">
        <v>9876</v>
      </c>
      <c r="M366" t="s">
        <v>9176</v>
      </c>
    </row>
    <row r="367" spans="9:13" x14ac:dyDescent="0.25">
      <c r="I367" t="s">
        <v>9877</v>
      </c>
      <c r="J367" t="s">
        <v>3565</v>
      </c>
      <c r="K367" t="s">
        <v>9644</v>
      </c>
      <c r="L367" t="s">
        <v>9878</v>
      </c>
      <c r="M367" t="s">
        <v>9646</v>
      </c>
    </row>
    <row r="368" spans="9:13" x14ac:dyDescent="0.25">
      <c r="I368" t="s">
        <v>9879</v>
      </c>
      <c r="J368" t="s">
        <v>9880</v>
      </c>
      <c r="K368" t="s">
        <v>9219</v>
      </c>
      <c r="L368" t="s">
        <v>9881</v>
      </c>
      <c r="M368" t="s">
        <v>9221</v>
      </c>
    </row>
    <row r="369" spans="9:13" x14ac:dyDescent="0.25">
      <c r="I369" t="s">
        <v>9882</v>
      </c>
      <c r="J369" t="s">
        <v>3223</v>
      </c>
      <c r="K369" t="s">
        <v>9102</v>
      </c>
      <c r="L369" t="s">
        <v>9883</v>
      </c>
      <c r="M369" t="s">
        <v>9104</v>
      </c>
    </row>
    <row r="370" spans="9:13" x14ac:dyDescent="0.25">
      <c r="I370" t="s">
        <v>9884</v>
      </c>
      <c r="J370" t="s">
        <v>1239</v>
      </c>
      <c r="K370" t="s">
        <v>9136</v>
      </c>
      <c r="L370" t="s">
        <v>9885</v>
      </c>
      <c r="M370" t="s">
        <v>9138</v>
      </c>
    </row>
    <row r="371" spans="9:13" x14ac:dyDescent="0.25">
      <c r="I371" t="s">
        <v>9886</v>
      </c>
      <c r="J371" t="s">
        <v>6941</v>
      </c>
      <c r="K371" t="s">
        <v>9223</v>
      </c>
      <c r="L371" t="s">
        <v>9887</v>
      </c>
      <c r="M371" t="s">
        <v>9225</v>
      </c>
    </row>
    <row r="372" spans="9:13" x14ac:dyDescent="0.25">
      <c r="I372" t="s">
        <v>9888</v>
      </c>
      <c r="J372" t="s">
        <v>4525</v>
      </c>
      <c r="K372" t="s">
        <v>9174</v>
      </c>
      <c r="L372" t="s">
        <v>9889</v>
      </c>
      <c r="M372" t="s">
        <v>9176</v>
      </c>
    </row>
    <row r="373" spans="9:13" x14ac:dyDescent="0.25">
      <c r="I373" t="s">
        <v>9890</v>
      </c>
      <c r="J373" t="s">
        <v>3309</v>
      </c>
      <c r="K373" t="s">
        <v>9098</v>
      </c>
      <c r="L373" t="s">
        <v>9891</v>
      </c>
      <c r="M373" t="s">
        <v>9100</v>
      </c>
    </row>
    <row r="374" spans="9:13" x14ac:dyDescent="0.25">
      <c r="I374" t="s">
        <v>9892</v>
      </c>
      <c r="J374" t="s">
        <v>5730</v>
      </c>
      <c r="K374" t="s">
        <v>9136</v>
      </c>
      <c r="L374" t="s">
        <v>9893</v>
      </c>
      <c r="M374" t="s">
        <v>9138</v>
      </c>
    </row>
    <row r="375" spans="9:13" x14ac:dyDescent="0.25">
      <c r="I375" t="s">
        <v>9894</v>
      </c>
      <c r="J375" t="s">
        <v>2553</v>
      </c>
      <c r="K375" t="s">
        <v>9123</v>
      </c>
      <c r="L375" t="s">
        <v>9895</v>
      </c>
      <c r="M375" t="s">
        <v>9125</v>
      </c>
    </row>
    <row r="376" spans="9:13" x14ac:dyDescent="0.25">
      <c r="I376" t="s">
        <v>9896</v>
      </c>
      <c r="J376" t="s">
        <v>9897</v>
      </c>
      <c r="K376" t="s">
        <v>9174</v>
      </c>
      <c r="L376" t="s">
        <v>9898</v>
      </c>
      <c r="M376" t="s">
        <v>9176</v>
      </c>
    </row>
    <row r="377" spans="9:13" x14ac:dyDescent="0.25">
      <c r="I377" t="s">
        <v>9899</v>
      </c>
      <c r="J377" t="s">
        <v>7556</v>
      </c>
      <c r="K377" t="s">
        <v>9223</v>
      </c>
      <c r="L377" t="s">
        <v>9900</v>
      </c>
      <c r="M377" t="s">
        <v>9225</v>
      </c>
    </row>
    <row r="378" spans="9:13" x14ac:dyDescent="0.25">
      <c r="I378" t="s">
        <v>9901</v>
      </c>
      <c r="J378" t="s">
        <v>3778</v>
      </c>
      <c r="K378" t="s">
        <v>9174</v>
      </c>
      <c r="L378" t="s">
        <v>9902</v>
      </c>
      <c r="M378" t="s">
        <v>9176</v>
      </c>
    </row>
    <row r="379" spans="9:13" x14ac:dyDescent="0.25">
      <c r="I379" t="s">
        <v>9903</v>
      </c>
      <c r="J379" t="s">
        <v>2217</v>
      </c>
      <c r="K379" t="s">
        <v>9252</v>
      </c>
      <c r="L379" t="s">
        <v>9904</v>
      </c>
      <c r="M379" t="s">
        <v>9254</v>
      </c>
    </row>
    <row r="380" spans="9:13" x14ac:dyDescent="0.25">
      <c r="I380" t="s">
        <v>9905</v>
      </c>
      <c r="J380" t="s">
        <v>9906</v>
      </c>
      <c r="K380" t="s">
        <v>9624</v>
      </c>
      <c r="L380" t="s">
        <v>9907</v>
      </c>
      <c r="M380" t="s">
        <v>9626</v>
      </c>
    </row>
    <row r="381" spans="9:13" x14ac:dyDescent="0.25">
      <c r="I381" t="s">
        <v>9908</v>
      </c>
      <c r="J381" t="s">
        <v>924</v>
      </c>
      <c r="K381" t="s">
        <v>9182</v>
      </c>
      <c r="L381" t="s">
        <v>9909</v>
      </c>
      <c r="M381" t="s">
        <v>9184</v>
      </c>
    </row>
    <row r="382" spans="9:13" x14ac:dyDescent="0.25">
      <c r="I382" t="s">
        <v>9910</v>
      </c>
      <c r="J382" t="s">
        <v>6774</v>
      </c>
      <c r="K382" t="s">
        <v>9084</v>
      </c>
      <c r="L382" t="s">
        <v>9911</v>
      </c>
      <c r="M382" t="s">
        <v>9086</v>
      </c>
    </row>
    <row r="383" spans="9:13" x14ac:dyDescent="0.25">
      <c r="I383" t="s">
        <v>9912</v>
      </c>
      <c r="J383" t="s">
        <v>9913</v>
      </c>
      <c r="K383" t="s">
        <v>9034</v>
      </c>
      <c r="L383" t="s">
        <v>9914</v>
      </c>
      <c r="M383" t="s">
        <v>9069</v>
      </c>
    </row>
    <row r="384" spans="9:13" x14ac:dyDescent="0.25">
      <c r="I384" t="s">
        <v>9915</v>
      </c>
      <c r="J384" t="s">
        <v>8321</v>
      </c>
      <c r="K384" t="s">
        <v>9550</v>
      </c>
      <c r="L384" t="s">
        <v>9916</v>
      </c>
      <c r="M384" t="s">
        <v>9552</v>
      </c>
    </row>
    <row r="385" spans="9:13" x14ac:dyDescent="0.25">
      <c r="I385" t="s">
        <v>9917</v>
      </c>
      <c r="J385" t="s">
        <v>4731</v>
      </c>
      <c r="K385" t="s">
        <v>9288</v>
      </c>
      <c r="L385" t="s">
        <v>9918</v>
      </c>
      <c r="M385" t="s">
        <v>9290</v>
      </c>
    </row>
    <row r="386" spans="9:13" x14ac:dyDescent="0.25">
      <c r="I386" t="s">
        <v>9919</v>
      </c>
      <c r="J386" t="s">
        <v>8418</v>
      </c>
      <c r="K386" t="s">
        <v>9187</v>
      </c>
      <c r="L386" t="s">
        <v>9920</v>
      </c>
      <c r="M386" t="s">
        <v>9189</v>
      </c>
    </row>
    <row r="387" spans="9:13" x14ac:dyDescent="0.25">
      <c r="I387" t="s">
        <v>9921</v>
      </c>
      <c r="J387" t="s">
        <v>4740</v>
      </c>
      <c r="K387" t="s">
        <v>9174</v>
      </c>
      <c r="L387" t="s">
        <v>9922</v>
      </c>
      <c r="M387" t="s">
        <v>9176</v>
      </c>
    </row>
    <row r="388" spans="9:13" x14ac:dyDescent="0.25">
      <c r="I388" t="s">
        <v>9923</v>
      </c>
      <c r="J388" t="s">
        <v>9924</v>
      </c>
      <c r="K388" t="s">
        <v>9434</v>
      </c>
      <c r="L388" t="s">
        <v>9925</v>
      </c>
      <c r="M388" t="s">
        <v>9436</v>
      </c>
    </row>
    <row r="389" spans="9:13" x14ac:dyDescent="0.25">
      <c r="I389" t="s">
        <v>9926</v>
      </c>
      <c r="J389" t="s">
        <v>7561</v>
      </c>
      <c r="K389" t="s">
        <v>9206</v>
      </c>
      <c r="L389" t="s">
        <v>9927</v>
      </c>
      <c r="M389" t="s">
        <v>9208</v>
      </c>
    </row>
    <row r="390" spans="9:13" x14ac:dyDescent="0.25">
      <c r="I390" t="s">
        <v>9928</v>
      </c>
      <c r="J390" t="s">
        <v>756</v>
      </c>
      <c r="K390" t="s">
        <v>9174</v>
      </c>
      <c r="L390" t="s">
        <v>9929</v>
      </c>
      <c r="M390" t="s">
        <v>9176</v>
      </c>
    </row>
    <row r="391" spans="9:13" x14ac:dyDescent="0.25">
      <c r="I391" t="s">
        <v>9930</v>
      </c>
      <c r="J391" t="s">
        <v>9931</v>
      </c>
      <c r="K391" t="s">
        <v>9781</v>
      </c>
      <c r="L391" t="s">
        <v>9932</v>
      </c>
      <c r="M391" t="s">
        <v>9783</v>
      </c>
    </row>
    <row r="392" spans="9:13" x14ac:dyDescent="0.25">
      <c r="I392" t="s">
        <v>9933</v>
      </c>
      <c r="J392" t="s">
        <v>369</v>
      </c>
      <c r="K392" t="s">
        <v>9171</v>
      </c>
      <c r="L392" t="s">
        <v>9934</v>
      </c>
      <c r="M392" t="s">
        <v>9171</v>
      </c>
    </row>
    <row r="393" spans="9:13" x14ac:dyDescent="0.25">
      <c r="I393" t="s">
        <v>9935</v>
      </c>
      <c r="J393" t="s">
        <v>3811</v>
      </c>
      <c r="K393" t="s">
        <v>9102</v>
      </c>
      <c r="L393" t="s">
        <v>9936</v>
      </c>
      <c r="M393" t="s">
        <v>9104</v>
      </c>
    </row>
    <row r="394" spans="9:13" x14ac:dyDescent="0.25">
      <c r="I394" t="s">
        <v>9937</v>
      </c>
      <c r="J394" t="s">
        <v>9938</v>
      </c>
      <c r="K394" t="s">
        <v>9179</v>
      </c>
      <c r="L394" t="s">
        <v>9939</v>
      </c>
      <c r="M394" t="s">
        <v>9181</v>
      </c>
    </row>
    <row r="395" spans="9:13" x14ac:dyDescent="0.25">
      <c r="I395" t="s">
        <v>9940</v>
      </c>
      <c r="J395" t="s">
        <v>877</v>
      </c>
      <c r="K395" t="s">
        <v>9284</v>
      </c>
      <c r="L395" t="s">
        <v>9941</v>
      </c>
      <c r="M395" t="s">
        <v>9286</v>
      </c>
    </row>
    <row r="396" spans="9:13" x14ac:dyDescent="0.25">
      <c r="I396" t="s">
        <v>9942</v>
      </c>
      <c r="J396" t="s">
        <v>3823</v>
      </c>
      <c r="K396" t="s">
        <v>9182</v>
      </c>
      <c r="L396" t="s">
        <v>9943</v>
      </c>
      <c r="M396" t="s">
        <v>9184</v>
      </c>
    </row>
    <row r="397" spans="9:13" x14ac:dyDescent="0.25">
      <c r="I397" t="s">
        <v>9944</v>
      </c>
      <c r="J397" t="s">
        <v>1877</v>
      </c>
      <c r="K397" t="s">
        <v>9223</v>
      </c>
      <c r="L397" t="s">
        <v>9945</v>
      </c>
      <c r="M397" t="s">
        <v>9225</v>
      </c>
    </row>
    <row r="398" spans="9:13" x14ac:dyDescent="0.25">
      <c r="I398" t="s">
        <v>9946</v>
      </c>
      <c r="J398" t="s">
        <v>984</v>
      </c>
      <c r="K398" t="s">
        <v>9136</v>
      </c>
      <c r="L398" t="s">
        <v>9947</v>
      </c>
      <c r="M398" t="s">
        <v>9138</v>
      </c>
    </row>
    <row r="399" spans="9:13" x14ac:dyDescent="0.25">
      <c r="I399" t="s">
        <v>9948</v>
      </c>
      <c r="J399" t="s">
        <v>3786</v>
      </c>
      <c r="K399" t="s">
        <v>9585</v>
      </c>
      <c r="L399" t="s">
        <v>9949</v>
      </c>
      <c r="M399" t="s">
        <v>9587</v>
      </c>
    </row>
    <row r="400" spans="9:13" x14ac:dyDescent="0.25">
      <c r="I400" t="s">
        <v>9950</v>
      </c>
      <c r="J400" t="s">
        <v>54</v>
      </c>
      <c r="K400" t="s">
        <v>9284</v>
      </c>
      <c r="L400" t="s">
        <v>9951</v>
      </c>
      <c r="M400" t="s">
        <v>9286</v>
      </c>
    </row>
    <row r="401" spans="9:13" x14ac:dyDescent="0.25">
      <c r="I401" t="s">
        <v>9952</v>
      </c>
      <c r="J401" t="s">
        <v>686</v>
      </c>
      <c r="K401" t="s">
        <v>9231</v>
      </c>
      <c r="L401" t="s">
        <v>9953</v>
      </c>
      <c r="M401" t="s">
        <v>9233</v>
      </c>
    </row>
    <row r="402" spans="9:13" x14ac:dyDescent="0.25">
      <c r="I402" t="s">
        <v>9954</v>
      </c>
      <c r="J402" t="s">
        <v>7551</v>
      </c>
      <c r="K402" t="s">
        <v>9102</v>
      </c>
      <c r="L402" t="s">
        <v>9955</v>
      </c>
      <c r="M402" t="s">
        <v>9104</v>
      </c>
    </row>
    <row r="403" spans="9:13" x14ac:dyDescent="0.25">
      <c r="I403" t="s">
        <v>9956</v>
      </c>
      <c r="J403" t="s">
        <v>2116</v>
      </c>
      <c r="K403" t="s">
        <v>9089</v>
      </c>
      <c r="L403" t="s">
        <v>9957</v>
      </c>
      <c r="M403" t="s">
        <v>9091</v>
      </c>
    </row>
    <row r="404" spans="9:13" x14ac:dyDescent="0.25">
      <c r="I404" t="s">
        <v>9958</v>
      </c>
      <c r="J404" t="s">
        <v>2864</v>
      </c>
      <c r="K404" t="s">
        <v>9219</v>
      </c>
      <c r="L404" t="s">
        <v>9959</v>
      </c>
      <c r="M404" t="s">
        <v>9221</v>
      </c>
    </row>
    <row r="405" spans="9:13" x14ac:dyDescent="0.25">
      <c r="I405" t="s">
        <v>9960</v>
      </c>
      <c r="J405" t="s">
        <v>6170</v>
      </c>
      <c r="K405" t="s">
        <v>9123</v>
      </c>
      <c r="L405" t="s">
        <v>9961</v>
      </c>
      <c r="M405" t="s">
        <v>9125</v>
      </c>
    </row>
    <row r="406" spans="9:13" x14ac:dyDescent="0.25">
      <c r="I406" t="s">
        <v>9962</v>
      </c>
      <c r="J406" t="s">
        <v>8722</v>
      </c>
      <c r="K406" t="s">
        <v>9231</v>
      </c>
      <c r="L406" t="s">
        <v>9963</v>
      </c>
      <c r="M406" t="s">
        <v>9233</v>
      </c>
    </row>
    <row r="407" spans="9:13" x14ac:dyDescent="0.25">
      <c r="I407" t="s">
        <v>9964</v>
      </c>
      <c r="J407" t="s">
        <v>5884</v>
      </c>
      <c r="K407" t="s">
        <v>9182</v>
      </c>
      <c r="L407" t="s">
        <v>9965</v>
      </c>
      <c r="M407" t="s">
        <v>9184</v>
      </c>
    </row>
    <row r="408" spans="9:13" x14ac:dyDescent="0.25">
      <c r="I408" t="s">
        <v>9966</v>
      </c>
      <c r="J408" t="s">
        <v>3632</v>
      </c>
      <c r="K408" t="s">
        <v>9182</v>
      </c>
      <c r="L408" t="s">
        <v>9967</v>
      </c>
      <c r="M408" t="s">
        <v>9184</v>
      </c>
    </row>
    <row r="409" spans="9:13" x14ac:dyDescent="0.25">
      <c r="I409" t="s">
        <v>9968</v>
      </c>
      <c r="J409" t="s">
        <v>9969</v>
      </c>
      <c r="K409" t="s">
        <v>9034</v>
      </c>
      <c r="L409" t="s">
        <v>9970</v>
      </c>
      <c r="M409" t="s">
        <v>9069</v>
      </c>
    </row>
    <row r="410" spans="9:13" x14ac:dyDescent="0.25">
      <c r="I410" t="s">
        <v>9971</v>
      </c>
      <c r="J410" t="s">
        <v>5344</v>
      </c>
      <c r="K410" t="s">
        <v>9223</v>
      </c>
      <c r="L410" t="s">
        <v>9972</v>
      </c>
      <c r="M410" t="s">
        <v>9225</v>
      </c>
    </row>
    <row r="411" spans="9:13" x14ac:dyDescent="0.25">
      <c r="I411" t="s">
        <v>9973</v>
      </c>
      <c r="J411" t="s">
        <v>2752</v>
      </c>
      <c r="K411" t="s">
        <v>9288</v>
      </c>
      <c r="L411" t="s">
        <v>9974</v>
      </c>
      <c r="M411" t="s">
        <v>9290</v>
      </c>
    </row>
    <row r="412" spans="9:13" x14ac:dyDescent="0.25">
      <c r="I412" t="s">
        <v>9975</v>
      </c>
      <c r="J412" t="s">
        <v>4187</v>
      </c>
      <c r="K412" t="s">
        <v>9174</v>
      </c>
      <c r="L412" t="s">
        <v>9976</v>
      </c>
      <c r="M412" t="s">
        <v>9176</v>
      </c>
    </row>
    <row r="413" spans="9:13" x14ac:dyDescent="0.25">
      <c r="I413" t="s">
        <v>9977</v>
      </c>
      <c r="J413" t="s">
        <v>8412</v>
      </c>
      <c r="K413" t="s">
        <v>9102</v>
      </c>
      <c r="L413" t="s">
        <v>9978</v>
      </c>
      <c r="M413" t="s">
        <v>9104</v>
      </c>
    </row>
    <row r="414" spans="9:13" x14ac:dyDescent="0.25">
      <c r="I414" t="s">
        <v>9979</v>
      </c>
      <c r="J414" t="s">
        <v>5457</v>
      </c>
      <c r="K414" t="s">
        <v>9098</v>
      </c>
      <c r="L414" t="s">
        <v>9980</v>
      </c>
      <c r="M414" t="s">
        <v>9100</v>
      </c>
    </row>
    <row r="415" spans="9:13" x14ac:dyDescent="0.25">
      <c r="I415" t="s">
        <v>9981</v>
      </c>
      <c r="J415" t="s">
        <v>6760</v>
      </c>
      <c r="K415" t="s">
        <v>9182</v>
      </c>
      <c r="L415" t="s">
        <v>9982</v>
      </c>
      <c r="M415" t="s">
        <v>9184</v>
      </c>
    </row>
    <row r="416" spans="9:13" x14ac:dyDescent="0.25">
      <c r="I416" t="s">
        <v>9983</v>
      </c>
      <c r="J416" t="s">
        <v>3574</v>
      </c>
      <c r="K416" t="s">
        <v>9187</v>
      </c>
      <c r="L416" t="s">
        <v>9984</v>
      </c>
      <c r="M416" t="s">
        <v>9189</v>
      </c>
    </row>
    <row r="417" spans="9:13" x14ac:dyDescent="0.25">
      <c r="I417" t="s">
        <v>9985</v>
      </c>
      <c r="J417" t="s">
        <v>3198</v>
      </c>
      <c r="K417" t="s">
        <v>9316</v>
      </c>
      <c r="L417" t="s">
        <v>9986</v>
      </c>
      <c r="M417" t="s">
        <v>9318</v>
      </c>
    </row>
    <row r="418" spans="9:13" x14ac:dyDescent="0.25">
      <c r="I418" t="s">
        <v>9987</v>
      </c>
      <c r="J418" t="s">
        <v>7983</v>
      </c>
      <c r="K418" t="s">
        <v>9118</v>
      </c>
      <c r="L418" t="s">
        <v>9988</v>
      </c>
      <c r="M418" t="s">
        <v>9120</v>
      </c>
    </row>
    <row r="419" spans="9:13" x14ac:dyDescent="0.25">
      <c r="I419" t="s">
        <v>9989</v>
      </c>
      <c r="J419" t="s">
        <v>3638</v>
      </c>
      <c r="K419" t="s">
        <v>9174</v>
      </c>
      <c r="L419" t="s">
        <v>9990</v>
      </c>
      <c r="M419" t="s">
        <v>9176</v>
      </c>
    </row>
    <row r="420" spans="9:13" x14ac:dyDescent="0.25">
      <c r="I420" t="s">
        <v>9991</v>
      </c>
      <c r="J420" t="s">
        <v>3586</v>
      </c>
      <c r="K420" t="s">
        <v>9467</v>
      </c>
      <c r="L420" t="s">
        <v>9992</v>
      </c>
      <c r="M420" t="s">
        <v>9469</v>
      </c>
    </row>
    <row r="421" spans="9:13" x14ac:dyDescent="0.25">
      <c r="I421" t="s">
        <v>9993</v>
      </c>
      <c r="J421" t="s">
        <v>5112</v>
      </c>
      <c r="K421" t="s">
        <v>9174</v>
      </c>
      <c r="L421" t="s">
        <v>9994</v>
      </c>
      <c r="M421" t="s">
        <v>9176</v>
      </c>
    </row>
    <row r="422" spans="9:13" x14ac:dyDescent="0.25">
      <c r="I422" t="s">
        <v>9995</v>
      </c>
      <c r="J422" t="s">
        <v>3220</v>
      </c>
      <c r="K422" t="s">
        <v>9624</v>
      </c>
      <c r="L422" t="s">
        <v>9996</v>
      </c>
      <c r="M422" t="s">
        <v>9626</v>
      </c>
    </row>
    <row r="423" spans="9:13" x14ac:dyDescent="0.25">
      <c r="I423" t="s">
        <v>9997</v>
      </c>
      <c r="J423" t="s">
        <v>5437</v>
      </c>
      <c r="K423" t="s">
        <v>9098</v>
      </c>
      <c r="L423" t="s">
        <v>9998</v>
      </c>
      <c r="M423" t="s">
        <v>9100</v>
      </c>
    </row>
    <row r="424" spans="9:13" x14ac:dyDescent="0.25">
      <c r="I424" t="s">
        <v>9999</v>
      </c>
      <c r="J424" t="s">
        <v>3252</v>
      </c>
      <c r="K424" t="s">
        <v>9182</v>
      </c>
      <c r="L424" t="s">
        <v>10000</v>
      </c>
      <c r="M424" t="s">
        <v>9184</v>
      </c>
    </row>
    <row r="425" spans="9:13" x14ac:dyDescent="0.25">
      <c r="I425" t="s">
        <v>10001</v>
      </c>
      <c r="J425" t="s">
        <v>8536</v>
      </c>
      <c r="K425" t="s">
        <v>9231</v>
      </c>
      <c r="L425" t="s">
        <v>10002</v>
      </c>
      <c r="M425" t="s">
        <v>9233</v>
      </c>
    </row>
    <row r="426" spans="9:13" x14ac:dyDescent="0.25">
      <c r="I426" t="s">
        <v>10003</v>
      </c>
      <c r="J426" t="s">
        <v>405</v>
      </c>
      <c r="K426" t="s">
        <v>9231</v>
      </c>
      <c r="L426" t="s">
        <v>10004</v>
      </c>
      <c r="M426" t="s">
        <v>9233</v>
      </c>
    </row>
    <row r="427" spans="9:13" x14ac:dyDescent="0.25">
      <c r="I427" t="s">
        <v>10005</v>
      </c>
      <c r="J427" t="s">
        <v>94</v>
      </c>
      <c r="K427" t="s">
        <v>9231</v>
      </c>
      <c r="L427" t="s">
        <v>10006</v>
      </c>
      <c r="M427" t="s">
        <v>9233</v>
      </c>
    </row>
    <row r="428" spans="9:13" x14ac:dyDescent="0.25">
      <c r="I428" t="s">
        <v>10007</v>
      </c>
      <c r="J428" t="s">
        <v>1362</v>
      </c>
      <c r="K428" t="s">
        <v>9219</v>
      </c>
      <c r="L428" t="s">
        <v>10008</v>
      </c>
      <c r="M428" t="s">
        <v>9221</v>
      </c>
    </row>
    <row r="429" spans="9:13" x14ac:dyDescent="0.25">
      <c r="I429" t="s">
        <v>10009</v>
      </c>
      <c r="J429" t="s">
        <v>255</v>
      </c>
      <c r="K429" t="s">
        <v>9219</v>
      </c>
      <c r="L429" t="s">
        <v>10010</v>
      </c>
      <c r="M429" t="s">
        <v>9221</v>
      </c>
    </row>
    <row r="430" spans="9:13" x14ac:dyDescent="0.25">
      <c r="I430" t="s">
        <v>10011</v>
      </c>
      <c r="J430" t="s">
        <v>7713</v>
      </c>
      <c r="K430" t="s">
        <v>9155</v>
      </c>
      <c r="L430" t="s">
        <v>10012</v>
      </c>
      <c r="M430" t="s">
        <v>9157</v>
      </c>
    </row>
    <row r="431" spans="9:13" x14ac:dyDescent="0.25">
      <c r="I431" t="s">
        <v>10013</v>
      </c>
      <c r="J431" t="s">
        <v>5060</v>
      </c>
      <c r="K431" t="s">
        <v>9095</v>
      </c>
      <c r="L431" t="s">
        <v>10014</v>
      </c>
      <c r="M431" t="s">
        <v>9095</v>
      </c>
    </row>
    <row r="432" spans="9:13" x14ac:dyDescent="0.25">
      <c r="I432" t="s">
        <v>10015</v>
      </c>
      <c r="J432" t="s">
        <v>3863</v>
      </c>
      <c r="K432" t="s">
        <v>9161</v>
      </c>
      <c r="L432" t="s">
        <v>10016</v>
      </c>
      <c r="M432" t="s">
        <v>9163</v>
      </c>
    </row>
    <row r="433" spans="9:13" x14ac:dyDescent="0.25">
      <c r="I433" t="s">
        <v>10017</v>
      </c>
      <c r="J433" t="s">
        <v>8020</v>
      </c>
      <c r="K433" t="s">
        <v>9550</v>
      </c>
      <c r="L433" t="s">
        <v>10018</v>
      </c>
      <c r="M433" t="s">
        <v>9552</v>
      </c>
    </row>
    <row r="434" spans="9:13" x14ac:dyDescent="0.25">
      <c r="I434" t="s">
        <v>10019</v>
      </c>
      <c r="J434" t="s">
        <v>4125</v>
      </c>
      <c r="K434" t="s">
        <v>9136</v>
      </c>
      <c r="L434" t="s">
        <v>10020</v>
      </c>
      <c r="M434" t="s">
        <v>9138</v>
      </c>
    </row>
    <row r="435" spans="9:13" x14ac:dyDescent="0.25">
      <c r="I435" t="s">
        <v>10021</v>
      </c>
      <c r="J435" t="s">
        <v>2426</v>
      </c>
      <c r="K435" t="s">
        <v>9206</v>
      </c>
      <c r="L435" t="s">
        <v>10022</v>
      </c>
      <c r="M435" t="s">
        <v>9208</v>
      </c>
    </row>
    <row r="436" spans="9:13" x14ac:dyDescent="0.25">
      <c r="I436" t="s">
        <v>10023</v>
      </c>
      <c r="J436" t="s">
        <v>892</v>
      </c>
      <c r="K436" t="s">
        <v>9219</v>
      </c>
      <c r="L436" t="s">
        <v>10024</v>
      </c>
      <c r="M436" t="s">
        <v>9221</v>
      </c>
    </row>
    <row r="437" spans="9:13" x14ac:dyDescent="0.25">
      <c r="I437" t="s">
        <v>10025</v>
      </c>
      <c r="J437" t="s">
        <v>2764</v>
      </c>
      <c r="K437" t="s">
        <v>9098</v>
      </c>
      <c r="L437" t="s">
        <v>10026</v>
      </c>
      <c r="M437" t="s">
        <v>9100</v>
      </c>
    </row>
    <row r="438" spans="9:13" x14ac:dyDescent="0.25">
      <c r="I438" t="s">
        <v>10027</v>
      </c>
      <c r="J438" t="s">
        <v>711</v>
      </c>
      <c r="K438" t="s">
        <v>9098</v>
      </c>
      <c r="L438" t="s">
        <v>10028</v>
      </c>
      <c r="M438" t="s">
        <v>9100</v>
      </c>
    </row>
    <row r="439" spans="9:13" x14ac:dyDescent="0.25">
      <c r="I439" t="s">
        <v>10029</v>
      </c>
      <c r="J439" t="s">
        <v>8478</v>
      </c>
      <c r="K439" t="s">
        <v>9284</v>
      </c>
      <c r="L439" t="s">
        <v>10030</v>
      </c>
      <c r="M439" t="s">
        <v>9286</v>
      </c>
    </row>
    <row r="440" spans="9:13" x14ac:dyDescent="0.25">
      <c r="I440" t="s">
        <v>10031</v>
      </c>
      <c r="J440" t="s">
        <v>2316</v>
      </c>
      <c r="K440" t="s">
        <v>9280</v>
      </c>
      <c r="L440" t="s">
        <v>10032</v>
      </c>
      <c r="M440" t="s">
        <v>9282</v>
      </c>
    </row>
    <row r="441" spans="9:13" x14ac:dyDescent="0.25">
      <c r="I441" t="s">
        <v>10033</v>
      </c>
      <c r="J441" t="s">
        <v>2081</v>
      </c>
      <c r="K441" t="s">
        <v>9118</v>
      </c>
      <c r="L441" t="s">
        <v>10034</v>
      </c>
      <c r="M441" t="s">
        <v>9120</v>
      </c>
    </row>
    <row r="442" spans="9:13" x14ac:dyDescent="0.25">
      <c r="I442" t="s">
        <v>10035</v>
      </c>
      <c r="J442" t="s">
        <v>4206</v>
      </c>
      <c r="K442" t="s">
        <v>9280</v>
      </c>
      <c r="L442" t="s">
        <v>10036</v>
      </c>
      <c r="M442" t="s">
        <v>9282</v>
      </c>
    </row>
    <row r="443" spans="9:13" x14ac:dyDescent="0.25">
      <c r="I443" t="s">
        <v>10037</v>
      </c>
      <c r="J443" t="s">
        <v>6373</v>
      </c>
      <c r="K443" t="s">
        <v>9182</v>
      </c>
      <c r="L443" t="s">
        <v>10038</v>
      </c>
      <c r="M443" t="s">
        <v>9184</v>
      </c>
    </row>
    <row r="444" spans="9:13" x14ac:dyDescent="0.25">
      <c r="I444" t="s">
        <v>10039</v>
      </c>
      <c r="J444" t="s">
        <v>3851</v>
      </c>
      <c r="K444" t="s">
        <v>9070</v>
      </c>
      <c r="L444" t="s">
        <v>10040</v>
      </c>
      <c r="M444" t="s">
        <v>9072</v>
      </c>
    </row>
    <row r="445" spans="9:13" x14ac:dyDescent="0.25">
      <c r="I445" t="s">
        <v>10041</v>
      </c>
      <c r="J445" t="s">
        <v>1857</v>
      </c>
      <c r="K445" t="s">
        <v>9288</v>
      </c>
      <c r="L445" t="s">
        <v>10042</v>
      </c>
      <c r="M445" t="s">
        <v>9290</v>
      </c>
    </row>
    <row r="446" spans="9:13" x14ac:dyDescent="0.25">
      <c r="I446" t="s">
        <v>10043</v>
      </c>
      <c r="J446" t="s">
        <v>8164</v>
      </c>
      <c r="K446" t="s">
        <v>9213</v>
      </c>
      <c r="L446" t="s">
        <v>10044</v>
      </c>
      <c r="M446" t="s">
        <v>9215</v>
      </c>
    </row>
    <row r="447" spans="9:13" x14ac:dyDescent="0.25">
      <c r="I447" t="s">
        <v>10045</v>
      </c>
      <c r="J447" t="s">
        <v>8047</v>
      </c>
      <c r="K447" t="s">
        <v>9084</v>
      </c>
      <c r="L447" t="s">
        <v>10046</v>
      </c>
      <c r="M447" t="s">
        <v>9086</v>
      </c>
    </row>
    <row r="448" spans="9:13" x14ac:dyDescent="0.25">
      <c r="I448" t="s">
        <v>10047</v>
      </c>
      <c r="J448" t="s">
        <v>7137</v>
      </c>
      <c r="K448" t="s">
        <v>9206</v>
      </c>
      <c r="L448" t="s">
        <v>10048</v>
      </c>
      <c r="M448" t="s">
        <v>9208</v>
      </c>
    </row>
    <row r="449" spans="9:13" x14ac:dyDescent="0.25">
      <c r="I449" t="s">
        <v>10049</v>
      </c>
      <c r="J449" t="s">
        <v>1585</v>
      </c>
      <c r="K449" t="s">
        <v>9288</v>
      </c>
      <c r="L449" t="s">
        <v>10050</v>
      </c>
      <c r="M449" t="s">
        <v>9290</v>
      </c>
    </row>
    <row r="450" spans="9:13" x14ac:dyDescent="0.25">
      <c r="I450" t="s">
        <v>10051</v>
      </c>
      <c r="J450" t="s">
        <v>3912</v>
      </c>
      <c r="K450" t="s">
        <v>9136</v>
      </c>
      <c r="L450" t="s">
        <v>10052</v>
      </c>
      <c r="M450" t="s">
        <v>9138</v>
      </c>
    </row>
    <row r="451" spans="9:13" x14ac:dyDescent="0.25">
      <c r="I451" t="s">
        <v>10053</v>
      </c>
      <c r="J451" t="s">
        <v>2160</v>
      </c>
      <c r="K451" t="s">
        <v>9223</v>
      </c>
      <c r="L451" t="s">
        <v>10054</v>
      </c>
      <c r="M451" t="s">
        <v>9225</v>
      </c>
    </row>
    <row r="452" spans="9:13" x14ac:dyDescent="0.25">
      <c r="I452" t="s">
        <v>10055</v>
      </c>
      <c r="J452" t="s">
        <v>10056</v>
      </c>
      <c r="K452" t="s">
        <v>9223</v>
      </c>
      <c r="L452" t="s">
        <v>10057</v>
      </c>
      <c r="M452" t="s">
        <v>9225</v>
      </c>
    </row>
    <row r="453" spans="9:13" x14ac:dyDescent="0.25">
      <c r="I453" t="s">
        <v>10058</v>
      </c>
      <c r="J453" t="s">
        <v>1062</v>
      </c>
      <c r="K453" t="s">
        <v>9231</v>
      </c>
      <c r="L453" t="s">
        <v>10059</v>
      </c>
      <c r="M453" t="s">
        <v>9233</v>
      </c>
    </row>
    <row r="454" spans="9:13" x14ac:dyDescent="0.25">
      <c r="I454" t="s">
        <v>10060</v>
      </c>
      <c r="J454" t="s">
        <v>3926</v>
      </c>
      <c r="K454" t="s">
        <v>9136</v>
      </c>
      <c r="L454" t="s">
        <v>10061</v>
      </c>
      <c r="M454" t="s">
        <v>9138</v>
      </c>
    </row>
    <row r="455" spans="9:13" x14ac:dyDescent="0.25">
      <c r="I455" t="s">
        <v>10062</v>
      </c>
      <c r="J455" t="s">
        <v>10063</v>
      </c>
      <c r="K455" t="s">
        <v>9537</v>
      </c>
      <c r="L455" t="s">
        <v>10064</v>
      </c>
      <c r="M455" t="s">
        <v>9539</v>
      </c>
    </row>
    <row r="456" spans="9:13" x14ac:dyDescent="0.25">
      <c r="I456" t="s">
        <v>10065</v>
      </c>
      <c r="J456" t="s">
        <v>1650</v>
      </c>
      <c r="K456" t="s">
        <v>9182</v>
      </c>
      <c r="L456" t="s">
        <v>10066</v>
      </c>
      <c r="M456" t="s">
        <v>9184</v>
      </c>
    </row>
    <row r="457" spans="9:13" x14ac:dyDescent="0.25">
      <c r="I457" t="s">
        <v>10067</v>
      </c>
      <c r="J457" t="s">
        <v>3217</v>
      </c>
      <c r="K457" t="s">
        <v>9127</v>
      </c>
      <c r="L457" t="s">
        <v>9790</v>
      </c>
      <c r="M457" t="s">
        <v>9129</v>
      </c>
    </row>
    <row r="458" spans="9:13" x14ac:dyDescent="0.25">
      <c r="I458" t="s">
        <v>10068</v>
      </c>
      <c r="J458" t="s">
        <v>3280</v>
      </c>
      <c r="K458" t="s">
        <v>9316</v>
      </c>
      <c r="L458" t="s">
        <v>10069</v>
      </c>
      <c r="M458" t="s">
        <v>9318</v>
      </c>
    </row>
    <row r="459" spans="9:13" x14ac:dyDescent="0.25">
      <c r="I459" t="s">
        <v>10070</v>
      </c>
      <c r="J459" t="s">
        <v>3619</v>
      </c>
      <c r="K459" t="s">
        <v>9223</v>
      </c>
      <c r="L459" t="s">
        <v>10071</v>
      </c>
      <c r="M459" t="s">
        <v>9225</v>
      </c>
    </row>
    <row r="460" spans="9:13" x14ac:dyDescent="0.25">
      <c r="I460" t="s">
        <v>10072</v>
      </c>
      <c r="J460" t="s">
        <v>4834</v>
      </c>
      <c r="K460" t="s">
        <v>9182</v>
      </c>
      <c r="L460" t="s">
        <v>10073</v>
      </c>
      <c r="M460" t="s">
        <v>9184</v>
      </c>
    </row>
    <row r="461" spans="9:13" x14ac:dyDescent="0.25">
      <c r="I461" t="s">
        <v>10074</v>
      </c>
      <c r="J461" t="s">
        <v>3271</v>
      </c>
      <c r="K461" t="s">
        <v>9206</v>
      </c>
      <c r="L461" t="s">
        <v>10075</v>
      </c>
      <c r="M461" t="s">
        <v>9208</v>
      </c>
    </row>
    <row r="462" spans="9:13" x14ac:dyDescent="0.25">
      <c r="I462" t="s">
        <v>10076</v>
      </c>
      <c r="J462" t="s">
        <v>10077</v>
      </c>
      <c r="K462" t="s">
        <v>9288</v>
      </c>
      <c r="L462" t="s">
        <v>10078</v>
      </c>
      <c r="M462" t="s">
        <v>9290</v>
      </c>
    </row>
    <row r="463" spans="9:13" x14ac:dyDescent="0.25">
      <c r="I463" t="s">
        <v>10079</v>
      </c>
      <c r="J463" t="s">
        <v>5676</v>
      </c>
      <c r="K463" t="s">
        <v>9174</v>
      </c>
      <c r="L463" t="s">
        <v>9174</v>
      </c>
      <c r="M463" t="s">
        <v>9176</v>
      </c>
    </row>
    <row r="464" spans="9:13" x14ac:dyDescent="0.25">
      <c r="I464" t="s">
        <v>10080</v>
      </c>
      <c r="J464" t="s">
        <v>6116</v>
      </c>
      <c r="K464" t="s">
        <v>9098</v>
      </c>
      <c r="L464" t="s">
        <v>10081</v>
      </c>
      <c r="M464" t="s">
        <v>9100</v>
      </c>
    </row>
    <row r="465" spans="9:13" x14ac:dyDescent="0.25">
      <c r="I465" t="s">
        <v>10082</v>
      </c>
      <c r="J465" t="s">
        <v>4778</v>
      </c>
      <c r="K465" t="s">
        <v>9070</v>
      </c>
      <c r="L465" t="s">
        <v>10083</v>
      </c>
      <c r="M465" t="s">
        <v>9072</v>
      </c>
    </row>
    <row r="466" spans="9:13" x14ac:dyDescent="0.25">
      <c r="I466" t="s">
        <v>10084</v>
      </c>
      <c r="J466" t="s">
        <v>1039</v>
      </c>
      <c r="K466" t="s">
        <v>9108</v>
      </c>
      <c r="L466" t="s">
        <v>10085</v>
      </c>
      <c r="M466" t="s">
        <v>9110</v>
      </c>
    </row>
    <row r="467" spans="9:13" x14ac:dyDescent="0.25">
      <c r="I467" t="s">
        <v>10086</v>
      </c>
      <c r="J467" t="s">
        <v>10087</v>
      </c>
      <c r="K467" t="s">
        <v>9174</v>
      </c>
      <c r="L467" t="s">
        <v>10088</v>
      </c>
      <c r="M467" t="s">
        <v>9176</v>
      </c>
    </row>
    <row r="468" spans="9:13" x14ac:dyDescent="0.25">
      <c r="I468" t="s">
        <v>10089</v>
      </c>
      <c r="J468" t="s">
        <v>8241</v>
      </c>
      <c r="K468" t="s">
        <v>10090</v>
      </c>
      <c r="L468" t="s">
        <v>10091</v>
      </c>
      <c r="M468" t="s">
        <v>10092</v>
      </c>
    </row>
    <row r="469" spans="9:13" x14ac:dyDescent="0.25">
      <c r="I469" t="s">
        <v>10093</v>
      </c>
      <c r="J469" t="s">
        <v>7778</v>
      </c>
      <c r="K469" t="s">
        <v>9174</v>
      </c>
      <c r="L469" t="s">
        <v>10094</v>
      </c>
      <c r="M469" t="s">
        <v>9176</v>
      </c>
    </row>
    <row r="470" spans="9:13" x14ac:dyDescent="0.25">
      <c r="I470" t="s">
        <v>10095</v>
      </c>
      <c r="J470" t="s">
        <v>6970</v>
      </c>
      <c r="K470" t="s">
        <v>9098</v>
      </c>
      <c r="L470" t="s">
        <v>10096</v>
      </c>
      <c r="M470" t="s">
        <v>9100</v>
      </c>
    </row>
    <row r="471" spans="9:13" x14ac:dyDescent="0.25">
      <c r="I471" t="s">
        <v>10097</v>
      </c>
      <c r="J471" t="s">
        <v>7446</v>
      </c>
      <c r="K471" t="s">
        <v>9412</v>
      </c>
      <c r="L471" t="s">
        <v>10098</v>
      </c>
      <c r="M471" t="s">
        <v>9414</v>
      </c>
    </row>
    <row r="472" spans="9:13" x14ac:dyDescent="0.25">
      <c r="I472" t="s">
        <v>10099</v>
      </c>
      <c r="J472" t="s">
        <v>3042</v>
      </c>
      <c r="K472" t="s">
        <v>9098</v>
      </c>
      <c r="L472" t="s">
        <v>10100</v>
      </c>
      <c r="M472" t="s">
        <v>9100</v>
      </c>
    </row>
    <row r="473" spans="9:13" x14ac:dyDescent="0.25">
      <c r="I473" t="s">
        <v>10101</v>
      </c>
      <c r="J473" t="s">
        <v>10102</v>
      </c>
      <c r="K473" t="s">
        <v>9127</v>
      </c>
      <c r="L473" t="s">
        <v>10103</v>
      </c>
      <c r="M473" t="s">
        <v>9129</v>
      </c>
    </row>
    <row r="474" spans="9:13" x14ac:dyDescent="0.25">
      <c r="I474" t="s">
        <v>10104</v>
      </c>
      <c r="J474" t="s">
        <v>3592</v>
      </c>
      <c r="K474" t="s">
        <v>9280</v>
      </c>
      <c r="L474" t="s">
        <v>10105</v>
      </c>
      <c r="M474" t="s">
        <v>9282</v>
      </c>
    </row>
    <row r="475" spans="9:13" x14ac:dyDescent="0.25">
      <c r="I475" t="s">
        <v>10106</v>
      </c>
      <c r="J475" t="s">
        <v>8640</v>
      </c>
      <c r="K475" t="s">
        <v>9179</v>
      </c>
      <c r="L475" t="s">
        <v>10107</v>
      </c>
      <c r="M475" t="s">
        <v>9181</v>
      </c>
    </row>
    <row r="476" spans="9:13" x14ac:dyDescent="0.25">
      <c r="I476" t="s">
        <v>10108</v>
      </c>
      <c r="J476" t="s">
        <v>2831</v>
      </c>
      <c r="K476" t="s">
        <v>9136</v>
      </c>
      <c r="L476" t="s">
        <v>10109</v>
      </c>
      <c r="M476" t="s">
        <v>9138</v>
      </c>
    </row>
    <row r="477" spans="9:13" x14ac:dyDescent="0.25">
      <c r="I477" t="s">
        <v>10110</v>
      </c>
      <c r="J477" t="s">
        <v>1075</v>
      </c>
      <c r="K477" t="s">
        <v>9316</v>
      </c>
      <c r="L477" t="s">
        <v>10111</v>
      </c>
      <c r="M477" t="s">
        <v>9318</v>
      </c>
    </row>
    <row r="478" spans="9:13" x14ac:dyDescent="0.25">
      <c r="I478" t="s">
        <v>10112</v>
      </c>
      <c r="J478" t="s">
        <v>118</v>
      </c>
      <c r="K478" t="s">
        <v>9136</v>
      </c>
      <c r="L478" t="s">
        <v>10113</v>
      </c>
      <c r="M478" t="s">
        <v>9138</v>
      </c>
    </row>
    <row r="479" spans="9:13" x14ac:dyDescent="0.25">
      <c r="I479" t="s">
        <v>10114</v>
      </c>
      <c r="J479" t="s">
        <v>8582</v>
      </c>
      <c r="K479" t="s">
        <v>9219</v>
      </c>
      <c r="L479" t="s">
        <v>10115</v>
      </c>
      <c r="M479" t="s">
        <v>9221</v>
      </c>
    </row>
    <row r="480" spans="9:13" x14ac:dyDescent="0.25">
      <c r="I480" t="s">
        <v>10116</v>
      </c>
      <c r="J480" t="s">
        <v>30</v>
      </c>
      <c r="K480" t="s">
        <v>9280</v>
      </c>
      <c r="L480" t="s">
        <v>10117</v>
      </c>
      <c r="M480" t="s">
        <v>9282</v>
      </c>
    </row>
    <row r="481" spans="9:13" x14ac:dyDescent="0.25">
      <c r="I481" t="s">
        <v>10118</v>
      </c>
      <c r="J481" t="s">
        <v>10119</v>
      </c>
      <c r="K481" t="s">
        <v>9182</v>
      </c>
      <c r="L481" t="s">
        <v>10120</v>
      </c>
      <c r="M481" t="s">
        <v>9184</v>
      </c>
    </row>
    <row r="482" spans="9:13" x14ac:dyDescent="0.25">
      <c r="I482" t="s">
        <v>10121</v>
      </c>
      <c r="J482" t="s">
        <v>5183</v>
      </c>
      <c r="K482" t="s">
        <v>9174</v>
      </c>
      <c r="L482" t="s">
        <v>10122</v>
      </c>
      <c r="M482" t="s">
        <v>9176</v>
      </c>
    </row>
    <row r="483" spans="9:13" x14ac:dyDescent="0.25">
      <c r="I483" t="s">
        <v>10123</v>
      </c>
      <c r="J483" t="s">
        <v>3428</v>
      </c>
      <c r="K483" t="s">
        <v>9213</v>
      </c>
      <c r="L483" t="s">
        <v>10124</v>
      </c>
      <c r="M483" t="s">
        <v>9215</v>
      </c>
    </row>
    <row r="484" spans="9:13" x14ac:dyDescent="0.25">
      <c r="I484" t="s">
        <v>10125</v>
      </c>
      <c r="J484" t="s">
        <v>2672</v>
      </c>
      <c r="K484" t="s">
        <v>9098</v>
      </c>
      <c r="L484" t="s">
        <v>10126</v>
      </c>
      <c r="M484" t="s">
        <v>9100</v>
      </c>
    </row>
    <row r="485" spans="9:13" x14ac:dyDescent="0.25">
      <c r="I485" t="s">
        <v>10127</v>
      </c>
      <c r="J485" t="s">
        <v>6000</v>
      </c>
      <c r="K485" t="s">
        <v>9280</v>
      </c>
      <c r="L485" t="s">
        <v>10128</v>
      </c>
      <c r="M485" t="s">
        <v>9282</v>
      </c>
    </row>
    <row r="486" spans="9:13" x14ac:dyDescent="0.25">
      <c r="I486" t="s">
        <v>10129</v>
      </c>
      <c r="J486" t="s">
        <v>1971</v>
      </c>
      <c r="K486" t="s">
        <v>9123</v>
      </c>
      <c r="L486" t="s">
        <v>10130</v>
      </c>
      <c r="M486" t="s">
        <v>9125</v>
      </c>
    </row>
    <row r="487" spans="9:13" x14ac:dyDescent="0.25">
      <c r="I487" t="s">
        <v>10131</v>
      </c>
      <c r="J487" t="s">
        <v>8149</v>
      </c>
      <c r="K487" t="s">
        <v>9089</v>
      </c>
      <c r="L487" t="s">
        <v>10132</v>
      </c>
      <c r="M487" t="s">
        <v>9091</v>
      </c>
    </row>
    <row r="488" spans="9:13" x14ac:dyDescent="0.25">
      <c r="I488" t="s">
        <v>10133</v>
      </c>
      <c r="J488" t="s">
        <v>2814</v>
      </c>
      <c r="K488" t="s">
        <v>9284</v>
      </c>
      <c r="L488" t="s">
        <v>10134</v>
      </c>
      <c r="M488" t="s">
        <v>9286</v>
      </c>
    </row>
    <row r="489" spans="9:13" x14ac:dyDescent="0.25">
      <c r="I489" t="s">
        <v>10135</v>
      </c>
      <c r="J489" t="s">
        <v>7651</v>
      </c>
      <c r="K489" t="s">
        <v>9550</v>
      </c>
      <c r="L489" t="s">
        <v>10136</v>
      </c>
      <c r="M489" t="s">
        <v>9552</v>
      </c>
    </row>
    <row r="490" spans="9:13" x14ac:dyDescent="0.25">
      <c r="I490" t="s">
        <v>10137</v>
      </c>
      <c r="J490" t="s">
        <v>3205</v>
      </c>
      <c r="K490" t="s">
        <v>9098</v>
      </c>
      <c r="L490" t="s">
        <v>10138</v>
      </c>
      <c r="M490" t="s">
        <v>9100</v>
      </c>
    </row>
    <row r="491" spans="9:13" x14ac:dyDescent="0.25">
      <c r="I491" t="s">
        <v>10139</v>
      </c>
      <c r="J491" t="s">
        <v>1231</v>
      </c>
      <c r="K491" t="s">
        <v>9304</v>
      </c>
      <c r="L491" t="s">
        <v>10140</v>
      </c>
      <c r="M491" t="s">
        <v>9306</v>
      </c>
    </row>
    <row r="492" spans="9:13" x14ac:dyDescent="0.25">
      <c r="I492" t="s">
        <v>10141</v>
      </c>
      <c r="J492" t="s">
        <v>4909</v>
      </c>
      <c r="K492" t="s">
        <v>9174</v>
      </c>
      <c r="L492" t="s">
        <v>10142</v>
      </c>
      <c r="M492" t="s">
        <v>9176</v>
      </c>
    </row>
    <row r="493" spans="9:13" x14ac:dyDescent="0.25">
      <c r="I493" t="s">
        <v>10143</v>
      </c>
      <c r="J493" t="s">
        <v>5356</v>
      </c>
      <c r="K493" t="s">
        <v>9084</v>
      </c>
      <c r="L493" t="s">
        <v>10144</v>
      </c>
      <c r="M493" t="s">
        <v>9086</v>
      </c>
    </row>
    <row r="494" spans="9:13" x14ac:dyDescent="0.25">
      <c r="I494" t="s">
        <v>10145</v>
      </c>
      <c r="J494" t="s">
        <v>2559</v>
      </c>
      <c r="K494" t="s">
        <v>9118</v>
      </c>
      <c r="L494" t="s">
        <v>10146</v>
      </c>
      <c r="M494" t="s">
        <v>9120</v>
      </c>
    </row>
    <row r="495" spans="9:13" x14ac:dyDescent="0.25">
      <c r="I495" t="s">
        <v>10147</v>
      </c>
      <c r="J495" t="s">
        <v>3118</v>
      </c>
      <c r="K495" t="s">
        <v>9206</v>
      </c>
      <c r="L495" t="s">
        <v>10148</v>
      </c>
      <c r="M495" t="s">
        <v>9208</v>
      </c>
    </row>
    <row r="496" spans="9:13" x14ac:dyDescent="0.25">
      <c r="I496" t="s">
        <v>10149</v>
      </c>
      <c r="J496" t="s">
        <v>6724</v>
      </c>
      <c r="K496" t="s">
        <v>9161</v>
      </c>
      <c r="L496" t="s">
        <v>10150</v>
      </c>
      <c r="M496" t="s">
        <v>9163</v>
      </c>
    </row>
    <row r="497" spans="9:13" x14ac:dyDescent="0.25">
      <c r="I497" t="s">
        <v>10151</v>
      </c>
      <c r="J497" t="s">
        <v>8628</v>
      </c>
      <c r="K497" t="s">
        <v>9213</v>
      </c>
      <c r="L497" t="s">
        <v>10152</v>
      </c>
      <c r="M497" t="s">
        <v>9215</v>
      </c>
    </row>
    <row r="498" spans="9:13" x14ac:dyDescent="0.25">
      <c r="I498" t="s">
        <v>10153</v>
      </c>
      <c r="J498" t="s">
        <v>10154</v>
      </c>
      <c r="K498" t="s">
        <v>9118</v>
      </c>
      <c r="L498" t="s">
        <v>10155</v>
      </c>
      <c r="M498" t="s">
        <v>9120</v>
      </c>
    </row>
    <row r="499" spans="9:13" x14ac:dyDescent="0.25">
      <c r="I499" t="s">
        <v>10156</v>
      </c>
      <c r="J499" t="s">
        <v>3153</v>
      </c>
      <c r="K499" t="s">
        <v>9231</v>
      </c>
      <c r="L499" t="s">
        <v>10157</v>
      </c>
      <c r="M499" t="s">
        <v>9233</v>
      </c>
    </row>
    <row r="500" spans="9:13" x14ac:dyDescent="0.25">
      <c r="I500" t="s">
        <v>10158</v>
      </c>
      <c r="J500" t="s">
        <v>6240</v>
      </c>
      <c r="K500" t="s">
        <v>9123</v>
      </c>
      <c r="L500" t="s">
        <v>10159</v>
      </c>
      <c r="M500" t="s">
        <v>9125</v>
      </c>
    </row>
    <row r="501" spans="9:13" x14ac:dyDescent="0.25">
      <c r="I501" t="s">
        <v>10160</v>
      </c>
      <c r="J501" t="s">
        <v>7394</v>
      </c>
      <c r="K501" t="s">
        <v>9098</v>
      </c>
      <c r="L501" t="s">
        <v>10161</v>
      </c>
      <c r="M501" t="s">
        <v>9100</v>
      </c>
    </row>
    <row r="502" spans="9:13" x14ac:dyDescent="0.25">
      <c r="I502" t="s">
        <v>10162</v>
      </c>
      <c r="J502" t="s">
        <v>5432</v>
      </c>
      <c r="K502" t="s">
        <v>9550</v>
      </c>
      <c r="L502" t="s">
        <v>10163</v>
      </c>
      <c r="M502" t="s">
        <v>9552</v>
      </c>
    </row>
    <row r="503" spans="9:13" x14ac:dyDescent="0.25">
      <c r="I503" t="s">
        <v>10164</v>
      </c>
      <c r="J503" t="s">
        <v>5373</v>
      </c>
      <c r="K503" t="s">
        <v>10165</v>
      </c>
      <c r="L503" t="s">
        <v>10166</v>
      </c>
      <c r="M503" t="s">
        <v>10167</v>
      </c>
    </row>
    <row r="504" spans="9:13" x14ac:dyDescent="0.25">
      <c r="I504" t="s">
        <v>10168</v>
      </c>
      <c r="J504" t="s">
        <v>10169</v>
      </c>
      <c r="K504" t="s">
        <v>9288</v>
      </c>
      <c r="L504" t="s">
        <v>10170</v>
      </c>
      <c r="M504" t="s">
        <v>9290</v>
      </c>
    </row>
    <row r="505" spans="9:13" x14ac:dyDescent="0.25">
      <c r="I505" t="s">
        <v>10171</v>
      </c>
      <c r="J505" t="s">
        <v>8756</v>
      </c>
      <c r="K505" t="s">
        <v>9070</v>
      </c>
      <c r="L505" t="s">
        <v>10172</v>
      </c>
      <c r="M505" t="s">
        <v>9072</v>
      </c>
    </row>
    <row r="506" spans="9:13" x14ac:dyDescent="0.25">
      <c r="I506" t="s">
        <v>10173</v>
      </c>
      <c r="J506" t="s">
        <v>10174</v>
      </c>
      <c r="K506" t="s">
        <v>9190</v>
      </c>
      <c r="L506" t="s">
        <v>10175</v>
      </c>
      <c r="M506" t="s">
        <v>9192</v>
      </c>
    </row>
    <row r="507" spans="9:13" x14ac:dyDescent="0.25">
      <c r="I507" t="s">
        <v>10176</v>
      </c>
      <c r="J507" t="s">
        <v>10177</v>
      </c>
      <c r="K507" t="s">
        <v>9712</v>
      </c>
      <c r="L507" t="s">
        <v>10178</v>
      </c>
      <c r="M507" t="s">
        <v>9714</v>
      </c>
    </row>
    <row r="508" spans="9:13" x14ac:dyDescent="0.25">
      <c r="I508" t="s">
        <v>10179</v>
      </c>
      <c r="J508" t="s">
        <v>10180</v>
      </c>
      <c r="K508" t="s">
        <v>9034</v>
      </c>
      <c r="L508" t="s">
        <v>10181</v>
      </c>
      <c r="M508" t="s">
        <v>9069</v>
      </c>
    </row>
    <row r="509" spans="9:13" x14ac:dyDescent="0.25">
      <c r="I509" t="s">
        <v>9034</v>
      </c>
      <c r="J509" t="s">
        <v>9034</v>
      </c>
      <c r="K509" t="s">
        <v>10182</v>
      </c>
      <c r="L509" t="s">
        <v>9034</v>
      </c>
      <c r="M509" t="s">
        <v>10183</v>
      </c>
    </row>
    <row r="510" spans="9:13" x14ac:dyDescent="0.25">
      <c r="I510" t="s">
        <v>9070</v>
      </c>
      <c r="J510" t="s">
        <v>9070</v>
      </c>
      <c r="K510" t="s">
        <v>10182</v>
      </c>
      <c r="L510" t="s">
        <v>9070</v>
      </c>
      <c r="M510" t="s">
        <v>10183</v>
      </c>
    </row>
    <row r="511" spans="9:13" x14ac:dyDescent="0.25">
      <c r="I511" t="s">
        <v>9077</v>
      </c>
      <c r="J511" t="s">
        <v>9077</v>
      </c>
      <c r="K511" t="s">
        <v>10182</v>
      </c>
      <c r="L511" t="s">
        <v>9077</v>
      </c>
      <c r="M511" t="s">
        <v>10183</v>
      </c>
    </row>
    <row r="512" spans="9:13" x14ac:dyDescent="0.25">
      <c r="I512" t="s">
        <v>9084</v>
      </c>
      <c r="J512" t="s">
        <v>9084</v>
      </c>
      <c r="K512" t="s">
        <v>10182</v>
      </c>
      <c r="L512" t="s">
        <v>9084</v>
      </c>
      <c r="M512" t="s">
        <v>10183</v>
      </c>
    </row>
    <row r="513" spans="9:13" x14ac:dyDescent="0.25">
      <c r="I513" t="s">
        <v>9089</v>
      </c>
      <c r="J513" t="s">
        <v>9089</v>
      </c>
      <c r="K513" t="s">
        <v>10182</v>
      </c>
      <c r="L513" t="s">
        <v>9089</v>
      </c>
      <c r="M513" t="s">
        <v>10183</v>
      </c>
    </row>
    <row r="514" spans="9:13" x14ac:dyDescent="0.25">
      <c r="I514" t="s">
        <v>9095</v>
      </c>
      <c r="J514" t="s">
        <v>9095</v>
      </c>
      <c r="K514" t="s">
        <v>10182</v>
      </c>
      <c r="L514" t="s">
        <v>9095</v>
      </c>
      <c r="M514" t="s">
        <v>10183</v>
      </c>
    </row>
    <row r="515" spans="9:13" x14ac:dyDescent="0.25">
      <c r="I515" t="s">
        <v>9098</v>
      </c>
      <c r="J515" t="s">
        <v>9098</v>
      </c>
      <c r="K515" t="s">
        <v>10182</v>
      </c>
      <c r="L515" t="s">
        <v>9098</v>
      </c>
      <c r="M515" t="s">
        <v>10183</v>
      </c>
    </row>
    <row r="516" spans="9:13" x14ac:dyDescent="0.25">
      <c r="I516" t="s">
        <v>9102</v>
      </c>
      <c r="J516" t="s">
        <v>9102</v>
      </c>
      <c r="K516" t="s">
        <v>10182</v>
      </c>
      <c r="L516" t="s">
        <v>9102</v>
      </c>
      <c r="M516" t="s">
        <v>10183</v>
      </c>
    </row>
    <row r="517" spans="9:13" x14ac:dyDescent="0.25">
      <c r="I517" t="s">
        <v>9105</v>
      </c>
      <c r="J517" t="s">
        <v>9105</v>
      </c>
      <c r="K517" t="s">
        <v>10182</v>
      </c>
      <c r="L517" t="s">
        <v>9105</v>
      </c>
      <c r="M517" t="s">
        <v>10183</v>
      </c>
    </row>
    <row r="518" spans="9:13" x14ac:dyDescent="0.25">
      <c r="I518" t="s">
        <v>9108</v>
      </c>
      <c r="J518" t="s">
        <v>9108</v>
      </c>
      <c r="K518" t="s">
        <v>10182</v>
      </c>
      <c r="L518" t="s">
        <v>9108</v>
      </c>
      <c r="M518" t="s">
        <v>10183</v>
      </c>
    </row>
    <row r="519" spans="9:13" x14ac:dyDescent="0.25">
      <c r="I519" t="s">
        <v>9112</v>
      </c>
      <c r="J519" t="s">
        <v>9112</v>
      </c>
      <c r="K519" t="s">
        <v>10182</v>
      </c>
      <c r="L519" t="s">
        <v>9112</v>
      </c>
      <c r="M519" t="s">
        <v>10183</v>
      </c>
    </row>
    <row r="520" spans="9:13" x14ac:dyDescent="0.25">
      <c r="I520" t="s">
        <v>9118</v>
      </c>
      <c r="J520" t="s">
        <v>9118</v>
      </c>
      <c r="K520" t="s">
        <v>10182</v>
      </c>
      <c r="L520" t="s">
        <v>9118</v>
      </c>
      <c r="M520" t="s">
        <v>10183</v>
      </c>
    </row>
    <row r="521" spans="9:13" x14ac:dyDescent="0.25">
      <c r="I521" t="s">
        <v>9123</v>
      </c>
      <c r="J521" t="s">
        <v>9123</v>
      </c>
      <c r="K521" t="s">
        <v>10182</v>
      </c>
      <c r="L521" t="s">
        <v>9123</v>
      </c>
      <c r="M521" t="s">
        <v>10183</v>
      </c>
    </row>
    <row r="522" spans="9:13" x14ac:dyDescent="0.25">
      <c r="I522" t="s">
        <v>9127</v>
      </c>
      <c r="J522" t="s">
        <v>9127</v>
      </c>
      <c r="K522" t="s">
        <v>10182</v>
      </c>
      <c r="L522" t="s">
        <v>9127</v>
      </c>
      <c r="M522" t="s">
        <v>10183</v>
      </c>
    </row>
    <row r="523" spans="9:13" x14ac:dyDescent="0.25">
      <c r="I523" t="s">
        <v>9136</v>
      </c>
      <c r="J523" t="s">
        <v>9136</v>
      </c>
      <c r="K523" t="s">
        <v>10182</v>
      </c>
      <c r="L523" t="s">
        <v>9136</v>
      </c>
      <c r="M523" t="s">
        <v>10183</v>
      </c>
    </row>
    <row r="524" spans="9:13" x14ac:dyDescent="0.25">
      <c r="I524" t="s">
        <v>9152</v>
      </c>
      <c r="J524" t="s">
        <v>9152</v>
      </c>
      <c r="K524" t="s">
        <v>10182</v>
      </c>
      <c r="L524" t="s">
        <v>9152</v>
      </c>
      <c r="M524" t="s">
        <v>10183</v>
      </c>
    </row>
    <row r="525" spans="9:13" x14ac:dyDescent="0.25">
      <c r="I525" t="s">
        <v>9155</v>
      </c>
      <c r="J525" t="s">
        <v>9155</v>
      </c>
      <c r="K525" t="s">
        <v>10182</v>
      </c>
      <c r="L525" t="s">
        <v>9155</v>
      </c>
      <c r="M525" t="s">
        <v>10183</v>
      </c>
    </row>
    <row r="526" spans="9:13" x14ac:dyDescent="0.25">
      <c r="I526" t="s">
        <v>9161</v>
      </c>
      <c r="J526" t="s">
        <v>9161</v>
      </c>
      <c r="K526" t="s">
        <v>10182</v>
      </c>
      <c r="L526" t="s">
        <v>9161</v>
      </c>
      <c r="M526" t="s">
        <v>10183</v>
      </c>
    </row>
    <row r="527" spans="9:13" x14ac:dyDescent="0.25">
      <c r="I527" t="s">
        <v>9171</v>
      </c>
      <c r="J527" t="s">
        <v>9171</v>
      </c>
      <c r="K527" t="s">
        <v>10182</v>
      </c>
      <c r="L527" t="s">
        <v>9171</v>
      </c>
      <c r="M527" t="s">
        <v>10183</v>
      </c>
    </row>
    <row r="528" spans="9:13" x14ac:dyDescent="0.25">
      <c r="I528" t="s">
        <v>9174</v>
      </c>
      <c r="J528" t="s">
        <v>9174</v>
      </c>
      <c r="K528" t="s">
        <v>10182</v>
      </c>
      <c r="L528" t="s">
        <v>9174</v>
      </c>
      <c r="M528" t="s">
        <v>10183</v>
      </c>
    </row>
    <row r="529" spans="9:13" x14ac:dyDescent="0.25">
      <c r="I529" t="s">
        <v>9179</v>
      </c>
      <c r="J529" t="s">
        <v>9179</v>
      </c>
      <c r="K529" t="s">
        <v>10182</v>
      </c>
      <c r="L529" t="s">
        <v>9179</v>
      </c>
      <c r="M529" t="s">
        <v>10183</v>
      </c>
    </row>
    <row r="530" spans="9:13" x14ac:dyDescent="0.25">
      <c r="I530" t="s">
        <v>9182</v>
      </c>
      <c r="J530" t="s">
        <v>9182</v>
      </c>
      <c r="K530" t="s">
        <v>10182</v>
      </c>
      <c r="L530" t="s">
        <v>9182</v>
      </c>
      <c r="M530" t="s">
        <v>10183</v>
      </c>
    </row>
    <row r="531" spans="9:13" x14ac:dyDescent="0.25">
      <c r="I531" t="s">
        <v>9187</v>
      </c>
      <c r="J531" t="s">
        <v>9187</v>
      </c>
      <c r="K531" t="s">
        <v>10182</v>
      </c>
      <c r="L531" t="s">
        <v>9187</v>
      </c>
      <c r="M531" t="s">
        <v>10183</v>
      </c>
    </row>
    <row r="532" spans="9:13" x14ac:dyDescent="0.25">
      <c r="I532" t="s">
        <v>9190</v>
      </c>
      <c r="J532" t="s">
        <v>9190</v>
      </c>
      <c r="K532" t="s">
        <v>10182</v>
      </c>
      <c r="L532" t="s">
        <v>9190</v>
      </c>
      <c r="M532" t="s">
        <v>10183</v>
      </c>
    </row>
    <row r="533" spans="9:13" x14ac:dyDescent="0.25">
      <c r="I533" t="s">
        <v>9196</v>
      </c>
      <c r="J533" t="s">
        <v>9196</v>
      </c>
      <c r="K533" t="s">
        <v>10182</v>
      </c>
      <c r="L533" t="s">
        <v>9196</v>
      </c>
      <c r="M533" t="s">
        <v>10183</v>
      </c>
    </row>
    <row r="534" spans="9:13" x14ac:dyDescent="0.25">
      <c r="I534" t="s">
        <v>9206</v>
      </c>
      <c r="J534" t="s">
        <v>9206</v>
      </c>
      <c r="K534" t="s">
        <v>10182</v>
      </c>
      <c r="L534" t="s">
        <v>9206</v>
      </c>
      <c r="M534" t="s">
        <v>10183</v>
      </c>
    </row>
    <row r="535" spans="9:13" x14ac:dyDescent="0.25">
      <c r="I535" t="s">
        <v>9213</v>
      </c>
      <c r="J535" t="s">
        <v>9213</v>
      </c>
      <c r="K535" t="s">
        <v>10182</v>
      </c>
      <c r="L535" t="s">
        <v>9213</v>
      </c>
      <c r="M535" t="s">
        <v>10183</v>
      </c>
    </row>
    <row r="536" spans="9:13" x14ac:dyDescent="0.25">
      <c r="I536" t="s">
        <v>9219</v>
      </c>
      <c r="J536" t="s">
        <v>9219</v>
      </c>
      <c r="K536" t="s">
        <v>10182</v>
      </c>
      <c r="L536" t="s">
        <v>9219</v>
      </c>
      <c r="M536" t="s">
        <v>10183</v>
      </c>
    </row>
    <row r="537" spans="9:13" x14ac:dyDescent="0.25">
      <c r="I537" t="s">
        <v>9223</v>
      </c>
      <c r="J537" t="s">
        <v>9223</v>
      </c>
      <c r="K537" t="s">
        <v>10182</v>
      </c>
      <c r="L537" t="s">
        <v>9223</v>
      </c>
      <c r="M537" t="s">
        <v>10183</v>
      </c>
    </row>
    <row r="538" spans="9:13" x14ac:dyDescent="0.25">
      <c r="I538" t="s">
        <v>9231</v>
      </c>
      <c r="J538" t="s">
        <v>9231</v>
      </c>
      <c r="K538" t="s">
        <v>10182</v>
      </c>
      <c r="L538" t="s">
        <v>9231</v>
      </c>
      <c r="M538" t="s">
        <v>10183</v>
      </c>
    </row>
    <row r="539" spans="9:13" x14ac:dyDescent="0.25">
      <c r="I539" t="s">
        <v>9252</v>
      </c>
      <c r="J539" t="s">
        <v>9252</v>
      </c>
      <c r="K539" t="s">
        <v>10182</v>
      </c>
      <c r="L539" t="s">
        <v>9252</v>
      </c>
      <c r="M539" t="s">
        <v>10183</v>
      </c>
    </row>
    <row r="540" spans="9:13" x14ac:dyDescent="0.25">
      <c r="I540" t="s">
        <v>9267</v>
      </c>
      <c r="J540" t="s">
        <v>9267</v>
      </c>
      <c r="K540" t="s">
        <v>10182</v>
      </c>
      <c r="L540" t="s">
        <v>9267</v>
      </c>
      <c r="M540" t="s">
        <v>10183</v>
      </c>
    </row>
    <row r="541" spans="9:13" x14ac:dyDescent="0.25">
      <c r="I541" t="s">
        <v>9280</v>
      </c>
      <c r="J541" t="s">
        <v>9280</v>
      </c>
      <c r="K541" t="s">
        <v>10182</v>
      </c>
      <c r="L541" t="s">
        <v>9280</v>
      </c>
      <c r="M541" t="s">
        <v>10183</v>
      </c>
    </row>
    <row r="542" spans="9:13" x14ac:dyDescent="0.25">
      <c r="I542" t="s">
        <v>9284</v>
      </c>
      <c r="J542" t="s">
        <v>9284</v>
      </c>
      <c r="K542" t="s">
        <v>10182</v>
      </c>
      <c r="L542" t="s">
        <v>9284</v>
      </c>
      <c r="M542" t="s">
        <v>10183</v>
      </c>
    </row>
    <row r="543" spans="9:13" x14ac:dyDescent="0.25">
      <c r="I543" t="s">
        <v>9288</v>
      </c>
      <c r="J543" t="s">
        <v>9288</v>
      </c>
      <c r="K543" t="s">
        <v>10182</v>
      </c>
      <c r="L543" t="s">
        <v>9288</v>
      </c>
      <c r="M543" t="s">
        <v>10183</v>
      </c>
    </row>
    <row r="544" spans="9:13" x14ac:dyDescent="0.25">
      <c r="I544" t="s">
        <v>9304</v>
      </c>
      <c r="J544" t="s">
        <v>9304</v>
      </c>
      <c r="K544" t="s">
        <v>10182</v>
      </c>
      <c r="L544" t="s">
        <v>9304</v>
      </c>
      <c r="M544" t="s">
        <v>10183</v>
      </c>
    </row>
    <row r="545" spans="9:13" x14ac:dyDescent="0.25">
      <c r="I545" t="s">
        <v>9316</v>
      </c>
      <c r="J545" t="s">
        <v>9316</v>
      </c>
      <c r="K545" t="s">
        <v>10182</v>
      </c>
      <c r="L545" t="s">
        <v>9316</v>
      </c>
      <c r="M545" t="s">
        <v>10183</v>
      </c>
    </row>
    <row r="546" spans="9:13" x14ac:dyDescent="0.25">
      <c r="I546" t="s">
        <v>9331</v>
      </c>
      <c r="J546" t="s">
        <v>9331</v>
      </c>
      <c r="K546" t="s">
        <v>10182</v>
      </c>
      <c r="L546" t="s">
        <v>9331</v>
      </c>
      <c r="M546" t="s">
        <v>10183</v>
      </c>
    </row>
    <row r="547" spans="9:13" x14ac:dyDescent="0.25">
      <c r="I547" t="s">
        <v>9386</v>
      </c>
      <c r="J547" t="s">
        <v>9386</v>
      </c>
      <c r="K547" t="s">
        <v>10182</v>
      </c>
      <c r="L547" t="s">
        <v>9386</v>
      </c>
      <c r="M547" t="s">
        <v>10183</v>
      </c>
    </row>
    <row r="548" spans="9:13" x14ac:dyDescent="0.25">
      <c r="I548" t="s">
        <v>9412</v>
      </c>
      <c r="J548" t="s">
        <v>9412</v>
      </c>
      <c r="K548" t="s">
        <v>10182</v>
      </c>
      <c r="L548" t="s">
        <v>9412</v>
      </c>
      <c r="M548" t="s">
        <v>10183</v>
      </c>
    </row>
    <row r="549" spans="9:13" x14ac:dyDescent="0.25">
      <c r="I549" t="s">
        <v>9434</v>
      </c>
      <c r="J549" t="s">
        <v>9434</v>
      </c>
      <c r="K549" t="s">
        <v>10182</v>
      </c>
      <c r="L549" t="s">
        <v>9434</v>
      </c>
      <c r="M549" t="s">
        <v>10183</v>
      </c>
    </row>
    <row r="550" spans="9:13" x14ac:dyDescent="0.25">
      <c r="I550" t="s">
        <v>9438</v>
      </c>
      <c r="J550" t="s">
        <v>9438</v>
      </c>
      <c r="K550" t="s">
        <v>10182</v>
      </c>
      <c r="L550" t="s">
        <v>9438</v>
      </c>
      <c r="M550" t="s">
        <v>10183</v>
      </c>
    </row>
    <row r="551" spans="9:13" x14ac:dyDescent="0.25">
      <c r="I551" t="s">
        <v>9467</v>
      </c>
      <c r="J551" t="s">
        <v>9467</v>
      </c>
      <c r="K551" t="s">
        <v>10182</v>
      </c>
      <c r="L551" t="s">
        <v>9467</v>
      </c>
      <c r="M551" t="s">
        <v>10183</v>
      </c>
    </row>
    <row r="552" spans="9:13" x14ac:dyDescent="0.25">
      <c r="I552" t="s">
        <v>9527</v>
      </c>
      <c r="J552" t="s">
        <v>9527</v>
      </c>
      <c r="K552" t="s">
        <v>10182</v>
      </c>
      <c r="L552" t="s">
        <v>9527</v>
      </c>
      <c r="M552" t="s">
        <v>10183</v>
      </c>
    </row>
    <row r="553" spans="9:13" x14ac:dyDescent="0.25">
      <c r="I553" t="s">
        <v>9537</v>
      </c>
      <c r="J553" t="s">
        <v>9537</v>
      </c>
      <c r="K553" t="s">
        <v>10182</v>
      </c>
      <c r="L553" t="s">
        <v>9537</v>
      </c>
      <c r="M553" t="s">
        <v>10183</v>
      </c>
    </row>
    <row r="554" spans="9:13" x14ac:dyDescent="0.25">
      <c r="I554" t="s">
        <v>9546</v>
      </c>
      <c r="J554" t="s">
        <v>9546</v>
      </c>
      <c r="K554" t="s">
        <v>10182</v>
      </c>
      <c r="L554" t="s">
        <v>9546</v>
      </c>
      <c r="M554" t="s">
        <v>10183</v>
      </c>
    </row>
    <row r="555" spans="9:13" x14ac:dyDescent="0.25">
      <c r="I555" t="s">
        <v>9550</v>
      </c>
      <c r="J555" t="s">
        <v>9550</v>
      </c>
      <c r="K555" t="s">
        <v>10182</v>
      </c>
      <c r="L555" t="s">
        <v>9550</v>
      </c>
      <c r="M555" t="s">
        <v>10183</v>
      </c>
    </row>
    <row r="556" spans="9:13" x14ac:dyDescent="0.25">
      <c r="I556" t="s">
        <v>9585</v>
      </c>
      <c r="J556" t="s">
        <v>9585</v>
      </c>
      <c r="K556" t="s">
        <v>10182</v>
      </c>
      <c r="L556" t="s">
        <v>9585</v>
      </c>
      <c r="M556" t="s">
        <v>10183</v>
      </c>
    </row>
    <row r="557" spans="9:13" x14ac:dyDescent="0.25">
      <c r="I557" t="s">
        <v>9624</v>
      </c>
      <c r="J557" t="s">
        <v>9624</v>
      </c>
      <c r="K557" t="s">
        <v>10182</v>
      </c>
      <c r="L557" t="s">
        <v>9624</v>
      </c>
      <c r="M557" t="s">
        <v>10183</v>
      </c>
    </row>
    <row r="558" spans="9:13" x14ac:dyDescent="0.25">
      <c r="I558" t="s">
        <v>9635</v>
      </c>
      <c r="J558" t="s">
        <v>9635</v>
      </c>
      <c r="K558" t="s">
        <v>10182</v>
      </c>
      <c r="L558" t="s">
        <v>9635</v>
      </c>
      <c r="M558" t="s">
        <v>10183</v>
      </c>
    </row>
    <row r="559" spans="9:13" x14ac:dyDescent="0.25">
      <c r="I559" t="s">
        <v>9644</v>
      </c>
      <c r="J559" t="s">
        <v>9644</v>
      </c>
      <c r="K559" t="s">
        <v>10182</v>
      </c>
      <c r="L559" t="s">
        <v>9644</v>
      </c>
      <c r="M559" t="s">
        <v>10183</v>
      </c>
    </row>
    <row r="560" spans="9:13" x14ac:dyDescent="0.25">
      <c r="I560" t="s">
        <v>9700</v>
      </c>
      <c r="J560" t="s">
        <v>9700</v>
      </c>
      <c r="K560" t="s">
        <v>10182</v>
      </c>
      <c r="L560" t="s">
        <v>9700</v>
      </c>
      <c r="M560" t="s">
        <v>10183</v>
      </c>
    </row>
    <row r="561" spans="9:13" x14ac:dyDescent="0.25">
      <c r="I561" t="s">
        <v>9712</v>
      </c>
      <c r="J561" t="s">
        <v>9712</v>
      </c>
      <c r="K561" t="s">
        <v>10182</v>
      </c>
      <c r="L561" t="s">
        <v>9712</v>
      </c>
      <c r="M561" t="s">
        <v>10183</v>
      </c>
    </row>
    <row r="562" spans="9:13" x14ac:dyDescent="0.25">
      <c r="I562" t="s">
        <v>9781</v>
      </c>
      <c r="J562" t="s">
        <v>9781</v>
      </c>
      <c r="K562" t="s">
        <v>10182</v>
      </c>
      <c r="L562" t="s">
        <v>9781</v>
      </c>
      <c r="M562" t="s">
        <v>10183</v>
      </c>
    </row>
    <row r="563" spans="9:13" x14ac:dyDescent="0.25">
      <c r="I563" t="s">
        <v>10090</v>
      </c>
      <c r="J563" t="s">
        <v>10090</v>
      </c>
      <c r="K563" t="s">
        <v>10182</v>
      </c>
      <c r="L563" t="s">
        <v>10090</v>
      </c>
      <c r="M563" t="s">
        <v>10183</v>
      </c>
    </row>
    <row r="564" spans="9:13" x14ac:dyDescent="0.25">
      <c r="I564" t="s">
        <v>10165</v>
      </c>
      <c r="J564" t="s">
        <v>10165</v>
      </c>
      <c r="K564" t="s">
        <v>10182</v>
      </c>
      <c r="L564" t="s">
        <v>10165</v>
      </c>
      <c r="M564" t="s">
        <v>10183</v>
      </c>
    </row>
    <row r="565" spans="9:13" x14ac:dyDescent="0.25">
      <c r="I565" t="s">
        <v>9037</v>
      </c>
      <c r="J565" t="s">
        <v>9037</v>
      </c>
      <c r="K565" t="s">
        <v>10182</v>
      </c>
      <c r="L565" t="s">
        <v>9037</v>
      </c>
      <c r="M565" t="s">
        <v>10183</v>
      </c>
    </row>
    <row r="566" spans="9:13" x14ac:dyDescent="0.25">
      <c r="I566" t="s">
        <v>9057</v>
      </c>
      <c r="J566" t="s">
        <v>9057</v>
      </c>
      <c r="K566" t="s">
        <v>10182</v>
      </c>
      <c r="L566" t="s">
        <v>9057</v>
      </c>
      <c r="M566" t="s">
        <v>10183</v>
      </c>
    </row>
    <row r="567" spans="9:13" x14ac:dyDescent="0.25">
      <c r="I567" t="s">
        <v>10184</v>
      </c>
      <c r="J567" t="s">
        <v>10185</v>
      </c>
      <c r="K567" t="s">
        <v>9213</v>
      </c>
      <c r="L567" t="s">
        <v>10186</v>
      </c>
      <c r="M567" t="s">
        <v>9215</v>
      </c>
    </row>
    <row r="568" spans="9:13" x14ac:dyDescent="0.25">
      <c r="I568" t="s">
        <v>10187</v>
      </c>
      <c r="J568" t="s">
        <v>10188</v>
      </c>
      <c r="K568" t="s">
        <v>9161</v>
      </c>
      <c r="L568" t="s">
        <v>10189</v>
      </c>
      <c r="M568" t="s">
        <v>9163</v>
      </c>
    </row>
    <row r="569" spans="9:13" x14ac:dyDescent="0.25">
      <c r="I569" t="s">
        <v>10190</v>
      </c>
      <c r="J569" t="s">
        <v>1199</v>
      </c>
      <c r="K569" t="s">
        <v>9316</v>
      </c>
      <c r="L569" t="s">
        <v>10191</v>
      </c>
      <c r="M569" t="s">
        <v>9318</v>
      </c>
    </row>
    <row r="570" spans="9:13" x14ac:dyDescent="0.25">
      <c r="I570" t="s">
        <v>10192</v>
      </c>
      <c r="J570" t="s">
        <v>3398</v>
      </c>
      <c r="K570" t="s">
        <v>9187</v>
      </c>
      <c r="L570" t="s">
        <v>10193</v>
      </c>
      <c r="M570" t="s">
        <v>9189</v>
      </c>
    </row>
    <row r="571" spans="9:13" x14ac:dyDescent="0.25">
      <c r="I571" t="s">
        <v>10194</v>
      </c>
      <c r="J571" t="s">
        <v>6069</v>
      </c>
      <c r="K571" t="s">
        <v>9223</v>
      </c>
      <c r="L571" t="s">
        <v>10195</v>
      </c>
      <c r="M571" t="s">
        <v>9225</v>
      </c>
    </row>
    <row r="572" spans="9:13" x14ac:dyDescent="0.25">
      <c r="I572" t="s">
        <v>10196</v>
      </c>
      <c r="J572" t="s">
        <v>3918</v>
      </c>
      <c r="K572" t="s">
        <v>9179</v>
      </c>
      <c r="L572" t="s">
        <v>10197</v>
      </c>
      <c r="M572" t="s">
        <v>9181</v>
      </c>
    </row>
    <row r="573" spans="9:13" x14ac:dyDescent="0.25">
      <c r="I573" t="s">
        <v>10198</v>
      </c>
      <c r="J573" t="s">
        <v>5163</v>
      </c>
      <c r="K573" t="s">
        <v>9467</v>
      </c>
      <c r="L573" t="s">
        <v>10199</v>
      </c>
      <c r="M573" t="s">
        <v>9469</v>
      </c>
    </row>
    <row r="574" spans="9:13" x14ac:dyDescent="0.25">
      <c r="I574" t="s">
        <v>10200</v>
      </c>
      <c r="J574" t="s">
        <v>3099</v>
      </c>
      <c r="K574" t="s">
        <v>9089</v>
      </c>
      <c r="L574" t="s">
        <v>10201</v>
      </c>
      <c r="M574" t="s">
        <v>9091</v>
      </c>
    </row>
    <row r="575" spans="9:13" x14ac:dyDescent="0.25">
      <c r="I575" t="s">
        <v>10202</v>
      </c>
      <c r="J575" t="s">
        <v>5146</v>
      </c>
      <c r="K575" t="s">
        <v>9386</v>
      </c>
      <c r="L575" t="s">
        <v>10203</v>
      </c>
      <c r="M575" t="s">
        <v>9388</v>
      </c>
    </row>
    <row r="576" spans="9:13" x14ac:dyDescent="0.25">
      <c r="I576" t="s">
        <v>10204</v>
      </c>
      <c r="J576" t="s">
        <v>4903</v>
      </c>
      <c r="K576" t="s">
        <v>9161</v>
      </c>
      <c r="L576" t="s">
        <v>10205</v>
      </c>
      <c r="M576" t="s">
        <v>9163</v>
      </c>
    </row>
    <row r="577" spans="9:13" x14ac:dyDescent="0.25">
      <c r="I577" t="s">
        <v>10206</v>
      </c>
      <c r="J577" t="s">
        <v>5566</v>
      </c>
      <c r="K577" t="s">
        <v>9095</v>
      </c>
      <c r="L577" t="s">
        <v>10207</v>
      </c>
      <c r="M577" t="s">
        <v>9095</v>
      </c>
    </row>
    <row r="578" spans="9:13" x14ac:dyDescent="0.25">
      <c r="I578" t="s">
        <v>10208</v>
      </c>
      <c r="J578" t="s">
        <v>3233</v>
      </c>
      <c r="K578" t="s">
        <v>9182</v>
      </c>
      <c r="L578" t="s">
        <v>10209</v>
      </c>
      <c r="M578" t="s">
        <v>9184</v>
      </c>
    </row>
    <row r="579" spans="9:13" x14ac:dyDescent="0.25">
      <c r="I579" t="s">
        <v>10210</v>
      </c>
      <c r="J579" t="s">
        <v>10211</v>
      </c>
      <c r="K579" t="s">
        <v>9223</v>
      </c>
      <c r="L579" t="s">
        <v>10212</v>
      </c>
      <c r="M579" t="s">
        <v>9225</v>
      </c>
    </row>
    <row r="580" spans="9:13" x14ac:dyDescent="0.25">
      <c r="I580" t="s">
        <v>10213</v>
      </c>
      <c r="J580" t="s">
        <v>6883</v>
      </c>
      <c r="K580" t="s">
        <v>9304</v>
      </c>
      <c r="L580" t="s">
        <v>10214</v>
      </c>
      <c r="M580" t="s">
        <v>9306</v>
      </c>
    </row>
    <row r="581" spans="9:13" x14ac:dyDescent="0.25">
      <c r="I581" t="s">
        <v>10215</v>
      </c>
      <c r="J581" t="s">
        <v>3939</v>
      </c>
      <c r="K581" t="s">
        <v>9213</v>
      </c>
      <c r="L581" t="s">
        <v>10216</v>
      </c>
      <c r="M581" t="s">
        <v>9215</v>
      </c>
    </row>
    <row r="582" spans="9:13" x14ac:dyDescent="0.25">
      <c r="I582" t="s">
        <v>10217</v>
      </c>
      <c r="J582" t="s">
        <v>2020</v>
      </c>
      <c r="K582" t="s">
        <v>9206</v>
      </c>
      <c r="L582" t="s">
        <v>10218</v>
      </c>
      <c r="M582" t="s">
        <v>9208</v>
      </c>
    </row>
    <row r="583" spans="9:13" x14ac:dyDescent="0.25">
      <c r="I583" t="s">
        <v>10219</v>
      </c>
      <c r="J583" t="s">
        <v>6632</v>
      </c>
      <c r="K583" t="s">
        <v>9280</v>
      </c>
      <c r="L583" t="s">
        <v>10220</v>
      </c>
      <c r="M583" t="s">
        <v>9282</v>
      </c>
    </row>
    <row r="584" spans="9:13" x14ac:dyDescent="0.25">
      <c r="I584" t="s">
        <v>10221</v>
      </c>
      <c r="J584" t="s">
        <v>8380</v>
      </c>
      <c r="K584" t="s">
        <v>9219</v>
      </c>
      <c r="L584" t="s">
        <v>10222</v>
      </c>
      <c r="M584" t="s">
        <v>9221</v>
      </c>
    </row>
    <row r="585" spans="9:13" x14ac:dyDescent="0.25">
      <c r="I585" t="s">
        <v>10223</v>
      </c>
      <c r="J585" t="s">
        <v>5173</v>
      </c>
      <c r="K585" t="s">
        <v>10224</v>
      </c>
      <c r="L585" t="s">
        <v>10225</v>
      </c>
      <c r="M585" t="s">
        <v>10226</v>
      </c>
    </row>
    <row r="586" spans="9:13" x14ac:dyDescent="0.25">
      <c r="I586" t="s">
        <v>10227</v>
      </c>
      <c r="J586" t="s">
        <v>5718</v>
      </c>
      <c r="K586" t="s">
        <v>9187</v>
      </c>
      <c r="L586" t="s">
        <v>10228</v>
      </c>
      <c r="M586" t="s">
        <v>9189</v>
      </c>
    </row>
    <row r="587" spans="9:13" x14ac:dyDescent="0.25">
      <c r="I587" t="s">
        <v>10229</v>
      </c>
      <c r="J587" t="s">
        <v>5482</v>
      </c>
      <c r="K587" t="s">
        <v>9386</v>
      </c>
      <c r="L587" t="s">
        <v>10230</v>
      </c>
      <c r="M587" t="s">
        <v>9388</v>
      </c>
    </row>
    <row r="588" spans="9:13" x14ac:dyDescent="0.25">
      <c r="I588" t="s">
        <v>10231</v>
      </c>
      <c r="J588" t="s">
        <v>5889</v>
      </c>
      <c r="K588" t="s">
        <v>10090</v>
      </c>
      <c r="L588" t="s">
        <v>10232</v>
      </c>
      <c r="M588" t="s">
        <v>10092</v>
      </c>
    </row>
    <row r="589" spans="9:13" x14ac:dyDescent="0.25">
      <c r="I589" t="s">
        <v>10233</v>
      </c>
      <c r="J589" t="s">
        <v>5629</v>
      </c>
      <c r="K589" t="s">
        <v>10234</v>
      </c>
      <c r="L589" t="s">
        <v>10235</v>
      </c>
      <c r="M589" t="s">
        <v>10236</v>
      </c>
    </row>
    <row r="590" spans="9:13" x14ac:dyDescent="0.25">
      <c r="I590" t="s">
        <v>10237</v>
      </c>
      <c r="J590" t="s">
        <v>1418</v>
      </c>
      <c r="K590" t="s">
        <v>9102</v>
      </c>
      <c r="L590" t="s">
        <v>10238</v>
      </c>
      <c r="M590" t="s">
        <v>9104</v>
      </c>
    </row>
    <row r="591" spans="9:13" x14ac:dyDescent="0.25">
      <c r="I591" t="s">
        <v>10239</v>
      </c>
      <c r="J591" t="s">
        <v>4478</v>
      </c>
      <c r="K591" t="s">
        <v>9179</v>
      </c>
      <c r="L591" t="s">
        <v>10240</v>
      </c>
      <c r="M591" t="s">
        <v>9181</v>
      </c>
    </row>
    <row r="592" spans="9:13" x14ac:dyDescent="0.25">
      <c r="I592" t="s">
        <v>10241</v>
      </c>
      <c r="J592" t="s">
        <v>3054</v>
      </c>
      <c r="K592" t="s">
        <v>9123</v>
      </c>
      <c r="L592" t="s">
        <v>10242</v>
      </c>
      <c r="M592" t="s">
        <v>9125</v>
      </c>
    </row>
    <row r="593" spans="9:13" x14ac:dyDescent="0.25">
      <c r="I593" t="s">
        <v>10243</v>
      </c>
      <c r="J593" t="s">
        <v>8794</v>
      </c>
      <c r="K593" t="s">
        <v>9288</v>
      </c>
      <c r="L593" t="s">
        <v>10244</v>
      </c>
      <c r="M593" t="s">
        <v>9290</v>
      </c>
    </row>
    <row r="594" spans="9:13" x14ac:dyDescent="0.25">
      <c r="I594" t="s">
        <v>10245</v>
      </c>
      <c r="J594" t="s">
        <v>4184</v>
      </c>
      <c r="K594" t="s">
        <v>9550</v>
      </c>
      <c r="L594" t="s">
        <v>9054</v>
      </c>
      <c r="M594" t="s">
        <v>9552</v>
      </c>
    </row>
    <row r="595" spans="9:13" x14ac:dyDescent="0.25">
      <c r="I595" t="s">
        <v>10246</v>
      </c>
      <c r="J595" t="s">
        <v>521</v>
      </c>
      <c r="K595" t="s">
        <v>9174</v>
      </c>
      <c r="L595" t="s">
        <v>10247</v>
      </c>
      <c r="M595" t="s">
        <v>9176</v>
      </c>
    </row>
    <row r="596" spans="9:13" x14ac:dyDescent="0.25">
      <c r="I596" t="s">
        <v>10248</v>
      </c>
      <c r="J596" t="s">
        <v>8656</v>
      </c>
      <c r="K596" t="s">
        <v>9223</v>
      </c>
      <c r="L596" t="s">
        <v>10249</v>
      </c>
      <c r="M596" t="s">
        <v>9225</v>
      </c>
    </row>
    <row r="597" spans="9:13" x14ac:dyDescent="0.25">
      <c r="I597" t="s">
        <v>10250</v>
      </c>
      <c r="J597" t="s">
        <v>7360</v>
      </c>
      <c r="K597" t="s">
        <v>10224</v>
      </c>
      <c r="L597" t="s">
        <v>10251</v>
      </c>
      <c r="M597" t="s">
        <v>10226</v>
      </c>
    </row>
    <row r="598" spans="9:13" x14ac:dyDescent="0.25">
      <c r="I598" t="s">
        <v>10252</v>
      </c>
      <c r="J598" t="s">
        <v>10253</v>
      </c>
      <c r="K598" t="s">
        <v>9123</v>
      </c>
      <c r="L598" t="s">
        <v>10254</v>
      </c>
      <c r="M598" t="s">
        <v>9125</v>
      </c>
    </row>
    <row r="599" spans="9:13" x14ac:dyDescent="0.25">
      <c r="I599" t="s">
        <v>10255</v>
      </c>
      <c r="J599" t="s">
        <v>1481</v>
      </c>
      <c r="K599" t="s">
        <v>9187</v>
      </c>
      <c r="L599" t="s">
        <v>10256</v>
      </c>
      <c r="M599" t="s">
        <v>9189</v>
      </c>
    </row>
    <row r="600" spans="9:13" x14ac:dyDescent="0.25">
      <c r="I600" t="s">
        <v>10257</v>
      </c>
      <c r="J600" t="s">
        <v>1349</v>
      </c>
      <c r="K600" t="s">
        <v>9288</v>
      </c>
      <c r="L600" t="s">
        <v>9375</v>
      </c>
      <c r="M600" t="s">
        <v>9290</v>
      </c>
    </row>
    <row r="601" spans="9:13" x14ac:dyDescent="0.25">
      <c r="I601" t="s">
        <v>10258</v>
      </c>
      <c r="J601" t="s">
        <v>1112</v>
      </c>
      <c r="K601" t="s">
        <v>9089</v>
      </c>
      <c r="L601" t="s">
        <v>10259</v>
      </c>
      <c r="M601" t="s">
        <v>9091</v>
      </c>
    </row>
    <row r="602" spans="9:13" x14ac:dyDescent="0.25">
      <c r="I602" t="s">
        <v>10260</v>
      </c>
      <c r="J602" t="s">
        <v>2380</v>
      </c>
      <c r="K602" t="s">
        <v>9550</v>
      </c>
      <c r="L602" t="s">
        <v>10261</v>
      </c>
      <c r="M602" t="s">
        <v>9552</v>
      </c>
    </row>
    <row r="603" spans="9:13" x14ac:dyDescent="0.25">
      <c r="I603" t="s">
        <v>10262</v>
      </c>
      <c r="J603" t="s">
        <v>2773</v>
      </c>
      <c r="K603" t="s">
        <v>9190</v>
      </c>
      <c r="L603" t="s">
        <v>10263</v>
      </c>
      <c r="M603" t="s">
        <v>9192</v>
      </c>
    </row>
    <row r="604" spans="9:13" x14ac:dyDescent="0.25">
      <c r="I604" t="s">
        <v>10264</v>
      </c>
      <c r="J604" t="s">
        <v>3275</v>
      </c>
      <c r="K604" t="s">
        <v>9118</v>
      </c>
      <c r="L604" t="s">
        <v>10265</v>
      </c>
      <c r="M604" t="s">
        <v>9120</v>
      </c>
    </row>
    <row r="605" spans="9:13" x14ac:dyDescent="0.25">
      <c r="I605" t="s">
        <v>10266</v>
      </c>
      <c r="J605" t="s">
        <v>2071</v>
      </c>
      <c r="K605" t="s">
        <v>9223</v>
      </c>
      <c r="L605" t="s">
        <v>10267</v>
      </c>
      <c r="M605" t="s">
        <v>9225</v>
      </c>
    </row>
    <row r="606" spans="9:13" x14ac:dyDescent="0.25">
      <c r="I606" t="s">
        <v>10268</v>
      </c>
      <c r="J606" t="s">
        <v>7193</v>
      </c>
      <c r="K606" t="s">
        <v>9123</v>
      </c>
      <c r="L606" t="s">
        <v>10269</v>
      </c>
      <c r="M606" t="s">
        <v>9125</v>
      </c>
    </row>
    <row r="607" spans="9:13" x14ac:dyDescent="0.25">
      <c r="I607" t="s">
        <v>10270</v>
      </c>
      <c r="J607" t="s">
        <v>8548</v>
      </c>
      <c r="K607" t="s">
        <v>9174</v>
      </c>
      <c r="L607" t="s">
        <v>10271</v>
      </c>
      <c r="M607" t="s">
        <v>9176</v>
      </c>
    </row>
    <row r="608" spans="9:13" x14ac:dyDescent="0.25">
      <c r="I608" t="s">
        <v>10272</v>
      </c>
      <c r="J608" t="s">
        <v>1413</v>
      </c>
      <c r="K608" t="s">
        <v>9098</v>
      </c>
      <c r="L608" t="s">
        <v>10273</v>
      </c>
      <c r="M608" t="s">
        <v>9100</v>
      </c>
    </row>
    <row r="609" spans="9:13" x14ac:dyDescent="0.25">
      <c r="I609" t="s">
        <v>10274</v>
      </c>
      <c r="J609" t="s">
        <v>1553</v>
      </c>
      <c r="K609" t="s">
        <v>9231</v>
      </c>
      <c r="L609" t="s">
        <v>10275</v>
      </c>
      <c r="M609" t="s">
        <v>9233</v>
      </c>
    </row>
    <row r="610" spans="9:13" x14ac:dyDescent="0.25">
      <c r="I610" t="s">
        <v>10276</v>
      </c>
      <c r="J610" t="s">
        <v>4710</v>
      </c>
      <c r="K610" t="s">
        <v>10090</v>
      </c>
      <c r="L610" t="s">
        <v>10277</v>
      </c>
      <c r="M610" t="s">
        <v>10092</v>
      </c>
    </row>
    <row r="611" spans="9:13" x14ac:dyDescent="0.25">
      <c r="I611" t="s">
        <v>10278</v>
      </c>
      <c r="J611" t="s">
        <v>10279</v>
      </c>
      <c r="K611" t="s">
        <v>9190</v>
      </c>
      <c r="L611" t="s">
        <v>10280</v>
      </c>
      <c r="M611" t="s">
        <v>9192</v>
      </c>
    </row>
    <row r="612" spans="9:13" x14ac:dyDescent="0.25">
      <c r="I612" t="s">
        <v>10281</v>
      </c>
      <c r="J612" t="s">
        <v>4784</v>
      </c>
      <c r="K612" t="s">
        <v>9288</v>
      </c>
      <c r="L612" t="s">
        <v>10282</v>
      </c>
      <c r="M612" t="s">
        <v>9290</v>
      </c>
    </row>
    <row r="613" spans="9:13" x14ac:dyDescent="0.25">
      <c r="I613" t="s">
        <v>10283</v>
      </c>
      <c r="J613" t="s">
        <v>4570</v>
      </c>
      <c r="K613" t="s">
        <v>9102</v>
      </c>
      <c r="L613" t="s">
        <v>10284</v>
      </c>
      <c r="M613" t="s">
        <v>9104</v>
      </c>
    </row>
    <row r="614" spans="9:13" x14ac:dyDescent="0.25">
      <c r="I614" t="s">
        <v>10285</v>
      </c>
      <c r="J614" t="s">
        <v>4787</v>
      </c>
      <c r="K614" t="s">
        <v>9331</v>
      </c>
      <c r="L614" t="s">
        <v>10286</v>
      </c>
      <c r="M614" t="s">
        <v>9333</v>
      </c>
    </row>
    <row r="615" spans="9:13" x14ac:dyDescent="0.25">
      <c r="I615" t="s">
        <v>10287</v>
      </c>
      <c r="J615" t="s">
        <v>4560</v>
      </c>
      <c r="K615" t="s">
        <v>9467</v>
      </c>
      <c r="L615" t="s">
        <v>10288</v>
      </c>
      <c r="M615" t="s">
        <v>9469</v>
      </c>
    </row>
    <row r="616" spans="9:13" x14ac:dyDescent="0.25">
      <c r="I616" t="s">
        <v>10289</v>
      </c>
      <c r="J616" t="s">
        <v>1769</v>
      </c>
      <c r="K616" t="s">
        <v>9284</v>
      </c>
      <c r="L616" t="s">
        <v>10290</v>
      </c>
      <c r="M616" t="s">
        <v>9286</v>
      </c>
    </row>
    <row r="617" spans="9:13" x14ac:dyDescent="0.25">
      <c r="I617" t="s">
        <v>10291</v>
      </c>
      <c r="J617" t="s">
        <v>8758</v>
      </c>
      <c r="K617" t="s">
        <v>9182</v>
      </c>
      <c r="L617" t="s">
        <v>10292</v>
      </c>
      <c r="M617" t="s">
        <v>9184</v>
      </c>
    </row>
    <row r="618" spans="9:13" x14ac:dyDescent="0.25">
      <c r="I618" t="s">
        <v>10293</v>
      </c>
      <c r="J618" t="s">
        <v>10294</v>
      </c>
      <c r="K618" t="s">
        <v>9136</v>
      </c>
      <c r="L618" t="s">
        <v>10295</v>
      </c>
      <c r="M618" t="s">
        <v>9138</v>
      </c>
    </row>
    <row r="619" spans="9:13" x14ac:dyDescent="0.25">
      <c r="I619" t="s">
        <v>10296</v>
      </c>
      <c r="J619" t="s">
        <v>5935</v>
      </c>
      <c r="K619" t="s">
        <v>9187</v>
      </c>
      <c r="L619" t="s">
        <v>10297</v>
      </c>
      <c r="M619" t="s">
        <v>9189</v>
      </c>
    </row>
    <row r="620" spans="9:13" x14ac:dyDescent="0.25">
      <c r="I620" t="s">
        <v>10298</v>
      </c>
      <c r="J620" t="s">
        <v>3609</v>
      </c>
      <c r="K620" t="s">
        <v>9223</v>
      </c>
      <c r="L620" t="s">
        <v>10299</v>
      </c>
      <c r="M620" t="s">
        <v>9225</v>
      </c>
    </row>
    <row r="621" spans="9:13" x14ac:dyDescent="0.25">
      <c r="I621" t="s">
        <v>10300</v>
      </c>
      <c r="J621" t="s">
        <v>1665</v>
      </c>
      <c r="K621" t="s">
        <v>9304</v>
      </c>
      <c r="L621" t="s">
        <v>10301</v>
      </c>
      <c r="M621" t="s">
        <v>9306</v>
      </c>
    </row>
    <row r="622" spans="9:13" x14ac:dyDescent="0.25">
      <c r="I622" t="s">
        <v>10302</v>
      </c>
      <c r="J622" t="s">
        <v>3324</v>
      </c>
      <c r="K622" t="s">
        <v>9136</v>
      </c>
      <c r="L622" t="s">
        <v>9310</v>
      </c>
      <c r="M622" t="s">
        <v>9138</v>
      </c>
    </row>
    <row r="623" spans="9:13" x14ac:dyDescent="0.25">
      <c r="I623" t="s">
        <v>10303</v>
      </c>
      <c r="J623" t="s">
        <v>201</v>
      </c>
      <c r="K623" t="s">
        <v>9223</v>
      </c>
      <c r="L623" t="s">
        <v>10304</v>
      </c>
      <c r="M623" t="s">
        <v>9225</v>
      </c>
    </row>
    <row r="624" spans="9:13" x14ac:dyDescent="0.25">
      <c r="I624" t="s">
        <v>10305</v>
      </c>
      <c r="J624" t="s">
        <v>2402</v>
      </c>
      <c r="K624" t="s">
        <v>9231</v>
      </c>
      <c r="L624" t="s">
        <v>10306</v>
      </c>
      <c r="M624" t="s">
        <v>9233</v>
      </c>
    </row>
    <row r="625" spans="9:13" x14ac:dyDescent="0.25">
      <c r="I625" t="s">
        <v>10307</v>
      </c>
      <c r="J625" t="s">
        <v>1963</v>
      </c>
      <c r="K625" t="s">
        <v>9118</v>
      </c>
      <c r="L625" t="s">
        <v>10308</v>
      </c>
      <c r="M625" t="s">
        <v>9120</v>
      </c>
    </row>
    <row r="626" spans="9:13" x14ac:dyDescent="0.25">
      <c r="I626" t="s">
        <v>10309</v>
      </c>
      <c r="J626" t="s">
        <v>5944</v>
      </c>
      <c r="K626" t="s">
        <v>9223</v>
      </c>
      <c r="L626" t="s">
        <v>10310</v>
      </c>
      <c r="M626" t="s">
        <v>9225</v>
      </c>
    </row>
    <row r="627" spans="9:13" x14ac:dyDescent="0.25">
      <c r="I627" t="s">
        <v>10311</v>
      </c>
      <c r="J627" t="s">
        <v>4630</v>
      </c>
      <c r="K627" t="s">
        <v>9223</v>
      </c>
      <c r="L627" t="s">
        <v>10312</v>
      </c>
      <c r="M627" t="s">
        <v>9225</v>
      </c>
    </row>
    <row r="628" spans="9:13" x14ac:dyDescent="0.25">
      <c r="I628" t="s">
        <v>10313</v>
      </c>
      <c r="J628" t="s">
        <v>8770</v>
      </c>
      <c r="K628" t="s">
        <v>9644</v>
      </c>
      <c r="L628" t="s">
        <v>10314</v>
      </c>
      <c r="M628" t="s">
        <v>9646</v>
      </c>
    </row>
    <row r="629" spans="9:13" x14ac:dyDescent="0.25">
      <c r="I629" t="s">
        <v>10315</v>
      </c>
      <c r="J629" t="s">
        <v>6139</v>
      </c>
      <c r="K629" t="s">
        <v>9095</v>
      </c>
      <c r="L629" t="s">
        <v>10316</v>
      </c>
      <c r="M629" t="s">
        <v>9095</v>
      </c>
    </row>
    <row r="630" spans="9:13" x14ac:dyDescent="0.25">
      <c r="I630" t="s">
        <v>10317</v>
      </c>
      <c r="J630" t="s">
        <v>6197</v>
      </c>
      <c r="K630" t="s">
        <v>9644</v>
      </c>
      <c r="L630" t="s">
        <v>10318</v>
      </c>
      <c r="M630" t="s">
        <v>9646</v>
      </c>
    </row>
    <row r="631" spans="9:13" x14ac:dyDescent="0.25">
      <c r="I631" t="s">
        <v>10319</v>
      </c>
      <c r="J631" t="s">
        <v>4134</v>
      </c>
      <c r="K631" t="s">
        <v>9102</v>
      </c>
      <c r="L631" t="s">
        <v>10320</v>
      </c>
      <c r="M631" t="s">
        <v>9104</v>
      </c>
    </row>
    <row r="632" spans="9:13" x14ac:dyDescent="0.25">
      <c r="I632" t="s">
        <v>10321</v>
      </c>
      <c r="J632" t="s">
        <v>2051</v>
      </c>
      <c r="K632" t="s">
        <v>9098</v>
      </c>
      <c r="L632" t="s">
        <v>10322</v>
      </c>
      <c r="M632" t="s">
        <v>9100</v>
      </c>
    </row>
    <row r="633" spans="9:13" x14ac:dyDescent="0.25">
      <c r="I633" t="s">
        <v>10323</v>
      </c>
      <c r="J633" t="s">
        <v>6467</v>
      </c>
      <c r="K633" t="s">
        <v>9386</v>
      </c>
      <c r="L633" t="s">
        <v>10324</v>
      </c>
      <c r="M633" t="s">
        <v>9388</v>
      </c>
    </row>
    <row r="634" spans="9:13" x14ac:dyDescent="0.25">
      <c r="I634" t="s">
        <v>10325</v>
      </c>
      <c r="J634" t="s">
        <v>5450</v>
      </c>
      <c r="K634" t="s">
        <v>9331</v>
      </c>
      <c r="L634" t="s">
        <v>10326</v>
      </c>
      <c r="M634" t="s">
        <v>9333</v>
      </c>
    </row>
    <row r="635" spans="9:13" x14ac:dyDescent="0.25">
      <c r="I635" t="s">
        <v>10327</v>
      </c>
      <c r="J635" t="s">
        <v>5682</v>
      </c>
      <c r="K635" t="s">
        <v>9127</v>
      </c>
      <c r="L635" t="s">
        <v>10328</v>
      </c>
      <c r="M635" t="s">
        <v>9129</v>
      </c>
    </row>
    <row r="636" spans="9:13" x14ac:dyDescent="0.25">
      <c r="I636" t="s">
        <v>10329</v>
      </c>
      <c r="J636" t="s">
        <v>6803</v>
      </c>
      <c r="K636" t="s">
        <v>9084</v>
      </c>
      <c r="L636" t="s">
        <v>10330</v>
      </c>
      <c r="M636" t="s">
        <v>9086</v>
      </c>
    </row>
    <row r="637" spans="9:13" x14ac:dyDescent="0.25">
      <c r="I637" t="s">
        <v>10331</v>
      </c>
      <c r="J637" t="s">
        <v>4915</v>
      </c>
      <c r="K637" t="s">
        <v>9098</v>
      </c>
      <c r="L637" t="s">
        <v>10332</v>
      </c>
      <c r="M637" t="s">
        <v>9100</v>
      </c>
    </row>
    <row r="638" spans="9:13" x14ac:dyDescent="0.25">
      <c r="I638" t="s">
        <v>10333</v>
      </c>
      <c r="J638" t="s">
        <v>2631</v>
      </c>
      <c r="K638" t="s">
        <v>10234</v>
      </c>
      <c r="L638" t="s">
        <v>10334</v>
      </c>
      <c r="M638" t="s">
        <v>10236</v>
      </c>
    </row>
    <row r="639" spans="9:13" x14ac:dyDescent="0.25">
      <c r="I639" t="s">
        <v>10335</v>
      </c>
      <c r="J639" t="s">
        <v>5231</v>
      </c>
      <c r="K639" t="s">
        <v>9123</v>
      </c>
      <c r="L639" t="s">
        <v>10336</v>
      </c>
      <c r="M639" t="s">
        <v>9125</v>
      </c>
    </row>
    <row r="640" spans="9:13" x14ac:dyDescent="0.25">
      <c r="I640" t="s">
        <v>10337</v>
      </c>
      <c r="J640" t="s">
        <v>2908</v>
      </c>
      <c r="K640" t="s">
        <v>9267</v>
      </c>
      <c r="L640" t="s">
        <v>10338</v>
      </c>
      <c r="M640" t="s">
        <v>9269</v>
      </c>
    </row>
    <row r="641" spans="9:13" x14ac:dyDescent="0.25">
      <c r="I641" t="s">
        <v>10339</v>
      </c>
      <c r="J641" t="s">
        <v>6151</v>
      </c>
      <c r="K641" t="s">
        <v>9179</v>
      </c>
      <c r="L641" t="s">
        <v>10340</v>
      </c>
      <c r="M641" t="s">
        <v>9181</v>
      </c>
    </row>
    <row r="642" spans="9:13" x14ac:dyDescent="0.25">
      <c r="I642" t="s">
        <v>10341</v>
      </c>
      <c r="J642" t="s">
        <v>2406</v>
      </c>
      <c r="K642" t="s">
        <v>9288</v>
      </c>
      <c r="L642" t="s">
        <v>10342</v>
      </c>
      <c r="M642" t="s">
        <v>9290</v>
      </c>
    </row>
    <row r="643" spans="9:13" x14ac:dyDescent="0.25">
      <c r="I643" t="s">
        <v>10343</v>
      </c>
      <c r="J643" t="s">
        <v>3713</v>
      </c>
      <c r="K643" t="s">
        <v>9219</v>
      </c>
      <c r="L643" t="s">
        <v>9893</v>
      </c>
      <c r="M643" t="s">
        <v>9221</v>
      </c>
    </row>
    <row r="644" spans="9:13" x14ac:dyDescent="0.25">
      <c r="I644" t="s">
        <v>10344</v>
      </c>
      <c r="J644" t="s">
        <v>4438</v>
      </c>
      <c r="K644" t="s">
        <v>9231</v>
      </c>
      <c r="L644" t="s">
        <v>10345</v>
      </c>
      <c r="M644" t="s">
        <v>9233</v>
      </c>
    </row>
    <row r="645" spans="9:13" x14ac:dyDescent="0.25">
      <c r="I645" t="s">
        <v>10346</v>
      </c>
      <c r="J645" t="s">
        <v>3567</v>
      </c>
      <c r="K645" t="s">
        <v>10224</v>
      </c>
      <c r="L645" t="s">
        <v>10347</v>
      </c>
      <c r="M645" t="s">
        <v>10226</v>
      </c>
    </row>
    <row r="646" spans="9:13" x14ac:dyDescent="0.25">
      <c r="I646" t="s">
        <v>10348</v>
      </c>
      <c r="J646" t="s">
        <v>3552</v>
      </c>
      <c r="K646" t="s">
        <v>9284</v>
      </c>
      <c r="L646" t="s">
        <v>10349</v>
      </c>
      <c r="M646" t="s">
        <v>9286</v>
      </c>
    </row>
    <row r="647" spans="9:13" x14ac:dyDescent="0.25">
      <c r="I647" t="s">
        <v>10350</v>
      </c>
      <c r="J647" t="s">
        <v>10351</v>
      </c>
      <c r="K647" t="s">
        <v>9700</v>
      </c>
      <c r="L647" t="s">
        <v>10352</v>
      </c>
      <c r="M647" t="s">
        <v>9702</v>
      </c>
    </row>
    <row r="648" spans="9:13" x14ac:dyDescent="0.25">
      <c r="I648" t="s">
        <v>10353</v>
      </c>
      <c r="J648" t="s">
        <v>7413</v>
      </c>
      <c r="K648" t="s">
        <v>9386</v>
      </c>
      <c r="L648" t="s">
        <v>10354</v>
      </c>
      <c r="M648" t="s">
        <v>9388</v>
      </c>
    </row>
    <row r="649" spans="9:13" x14ac:dyDescent="0.25">
      <c r="I649" t="s">
        <v>10355</v>
      </c>
      <c r="J649" t="s">
        <v>6110</v>
      </c>
      <c r="K649" t="s">
        <v>9386</v>
      </c>
      <c r="L649" t="s">
        <v>10356</v>
      </c>
      <c r="M649" t="s">
        <v>9388</v>
      </c>
    </row>
    <row r="650" spans="9:13" x14ac:dyDescent="0.25">
      <c r="I650" t="s">
        <v>10357</v>
      </c>
      <c r="J650" t="s">
        <v>4089</v>
      </c>
      <c r="K650" t="s">
        <v>9171</v>
      </c>
      <c r="L650" t="s">
        <v>10358</v>
      </c>
      <c r="M650" t="s">
        <v>9171</v>
      </c>
    </row>
    <row r="651" spans="9:13" x14ac:dyDescent="0.25">
      <c r="I651" t="s">
        <v>10359</v>
      </c>
      <c r="J651" t="s">
        <v>4386</v>
      </c>
      <c r="K651" t="s">
        <v>9174</v>
      </c>
      <c r="L651" t="s">
        <v>9830</v>
      </c>
      <c r="M651" t="s">
        <v>9176</v>
      </c>
    </row>
    <row r="652" spans="9:13" x14ac:dyDescent="0.25">
      <c r="I652" t="s">
        <v>10360</v>
      </c>
      <c r="J652" t="s">
        <v>4923</v>
      </c>
      <c r="K652" t="s">
        <v>9550</v>
      </c>
      <c r="L652" t="s">
        <v>10361</v>
      </c>
      <c r="M652" t="s">
        <v>9552</v>
      </c>
    </row>
    <row r="653" spans="9:13" x14ac:dyDescent="0.25">
      <c r="I653" t="s">
        <v>10362</v>
      </c>
      <c r="J653" t="s">
        <v>4334</v>
      </c>
      <c r="K653" t="s">
        <v>9098</v>
      </c>
      <c r="L653" t="s">
        <v>9354</v>
      </c>
      <c r="M653" t="s">
        <v>9100</v>
      </c>
    </row>
    <row r="654" spans="9:13" x14ac:dyDescent="0.25">
      <c r="I654" t="s">
        <v>10363</v>
      </c>
      <c r="J654" t="s">
        <v>5706</v>
      </c>
      <c r="K654" t="s">
        <v>9102</v>
      </c>
      <c r="L654" t="s">
        <v>10364</v>
      </c>
      <c r="M654" t="s">
        <v>9104</v>
      </c>
    </row>
    <row r="655" spans="9:13" x14ac:dyDescent="0.25">
      <c r="I655" t="s">
        <v>10365</v>
      </c>
      <c r="J655" t="s">
        <v>1747</v>
      </c>
      <c r="K655" t="s">
        <v>9174</v>
      </c>
      <c r="L655" t="s">
        <v>10366</v>
      </c>
      <c r="M655" t="s">
        <v>9176</v>
      </c>
    </row>
    <row r="656" spans="9:13" x14ac:dyDescent="0.25">
      <c r="I656" t="s">
        <v>10367</v>
      </c>
      <c r="J656" t="s">
        <v>3773</v>
      </c>
      <c r="K656" t="s">
        <v>9187</v>
      </c>
      <c r="L656" t="s">
        <v>10368</v>
      </c>
      <c r="M656" t="s">
        <v>9189</v>
      </c>
    </row>
    <row r="657" spans="9:13" x14ac:dyDescent="0.25">
      <c r="I657" t="s">
        <v>10369</v>
      </c>
      <c r="J657" t="s">
        <v>631</v>
      </c>
      <c r="K657" t="s">
        <v>9174</v>
      </c>
      <c r="L657" t="s">
        <v>10370</v>
      </c>
      <c r="M657" t="s">
        <v>9176</v>
      </c>
    </row>
    <row r="658" spans="9:13" x14ac:dyDescent="0.25">
      <c r="I658" t="s">
        <v>10371</v>
      </c>
      <c r="J658" t="s">
        <v>8384</v>
      </c>
      <c r="K658" t="s">
        <v>9386</v>
      </c>
      <c r="L658" t="s">
        <v>10372</v>
      </c>
      <c r="M658" t="s">
        <v>9388</v>
      </c>
    </row>
    <row r="659" spans="9:13" x14ac:dyDescent="0.25">
      <c r="I659" t="s">
        <v>10373</v>
      </c>
      <c r="J659" t="s">
        <v>5856</v>
      </c>
      <c r="K659" t="s">
        <v>9098</v>
      </c>
      <c r="L659" t="s">
        <v>10374</v>
      </c>
      <c r="M659" t="s">
        <v>9100</v>
      </c>
    </row>
    <row r="660" spans="9:13" x14ac:dyDescent="0.25">
      <c r="I660" t="s">
        <v>10375</v>
      </c>
      <c r="J660" t="s">
        <v>4073</v>
      </c>
      <c r="K660" t="s">
        <v>9174</v>
      </c>
      <c r="L660" t="s">
        <v>10376</v>
      </c>
      <c r="M660" t="s">
        <v>9176</v>
      </c>
    </row>
    <row r="661" spans="9:13" x14ac:dyDescent="0.25">
      <c r="I661" t="s">
        <v>10377</v>
      </c>
      <c r="J661" t="s">
        <v>3695</v>
      </c>
      <c r="K661" t="s">
        <v>9161</v>
      </c>
      <c r="L661" t="s">
        <v>10378</v>
      </c>
      <c r="M661" t="s">
        <v>9163</v>
      </c>
    </row>
    <row r="662" spans="9:13" x14ac:dyDescent="0.25">
      <c r="I662" t="s">
        <v>10379</v>
      </c>
      <c r="J662" t="s">
        <v>3336</v>
      </c>
      <c r="K662" t="s">
        <v>9174</v>
      </c>
      <c r="L662" t="s">
        <v>10380</v>
      </c>
      <c r="M662" t="s">
        <v>9176</v>
      </c>
    </row>
    <row r="663" spans="9:13" x14ac:dyDescent="0.25">
      <c r="I663" t="s">
        <v>10381</v>
      </c>
      <c r="J663" t="s">
        <v>2861</v>
      </c>
      <c r="K663" t="s">
        <v>9223</v>
      </c>
      <c r="L663" t="s">
        <v>10382</v>
      </c>
      <c r="M663" t="s">
        <v>9225</v>
      </c>
    </row>
    <row r="664" spans="9:13" x14ac:dyDescent="0.25">
      <c r="I664" t="s">
        <v>10383</v>
      </c>
      <c r="J664" t="s">
        <v>1024</v>
      </c>
      <c r="K664" t="s">
        <v>9267</v>
      </c>
      <c r="L664" t="s">
        <v>10382</v>
      </c>
      <c r="M664" t="s">
        <v>9269</v>
      </c>
    </row>
    <row r="665" spans="9:13" x14ac:dyDescent="0.25">
      <c r="I665" t="s">
        <v>10384</v>
      </c>
      <c r="J665" t="s">
        <v>6582</v>
      </c>
      <c r="K665" t="s">
        <v>9280</v>
      </c>
      <c r="L665" t="s">
        <v>10382</v>
      </c>
      <c r="M665" t="s">
        <v>9282</v>
      </c>
    </row>
    <row r="666" spans="9:13" x14ac:dyDescent="0.25">
      <c r="I666" t="s">
        <v>10385</v>
      </c>
      <c r="J666" t="s">
        <v>2150</v>
      </c>
      <c r="K666" t="s">
        <v>9223</v>
      </c>
      <c r="L666" t="s">
        <v>10382</v>
      </c>
      <c r="M666" t="s">
        <v>9225</v>
      </c>
    </row>
    <row r="667" spans="9:13" x14ac:dyDescent="0.25">
      <c r="I667" t="s">
        <v>10386</v>
      </c>
      <c r="J667" t="s">
        <v>7110</v>
      </c>
      <c r="K667" t="s">
        <v>9102</v>
      </c>
      <c r="L667" t="s">
        <v>10387</v>
      </c>
      <c r="M667" t="s">
        <v>9104</v>
      </c>
    </row>
    <row r="668" spans="9:13" x14ac:dyDescent="0.25">
      <c r="I668" t="s">
        <v>10388</v>
      </c>
      <c r="J668" t="s">
        <v>2701</v>
      </c>
      <c r="K668" t="s">
        <v>9438</v>
      </c>
      <c r="L668" t="s">
        <v>10389</v>
      </c>
      <c r="M668" t="s">
        <v>9440</v>
      </c>
    </row>
    <row r="669" spans="9:13" x14ac:dyDescent="0.25">
      <c r="I669" t="s">
        <v>10390</v>
      </c>
      <c r="J669" t="s">
        <v>4967</v>
      </c>
      <c r="K669" t="s">
        <v>9187</v>
      </c>
      <c r="L669" t="s">
        <v>10391</v>
      </c>
      <c r="M669" t="s">
        <v>9189</v>
      </c>
    </row>
    <row r="670" spans="9:13" x14ac:dyDescent="0.25">
      <c r="I670" t="s">
        <v>10392</v>
      </c>
      <c r="J670" t="s">
        <v>2935</v>
      </c>
      <c r="K670" t="s">
        <v>9624</v>
      </c>
      <c r="L670" t="s">
        <v>10393</v>
      </c>
      <c r="M670" t="s">
        <v>9626</v>
      </c>
    </row>
    <row r="671" spans="9:13" x14ac:dyDescent="0.25">
      <c r="I671" t="s">
        <v>10394</v>
      </c>
      <c r="J671" t="s">
        <v>6960</v>
      </c>
      <c r="K671" t="s">
        <v>9280</v>
      </c>
      <c r="L671" t="s">
        <v>10395</v>
      </c>
      <c r="M671" t="s">
        <v>9282</v>
      </c>
    </row>
    <row r="672" spans="9:13" x14ac:dyDescent="0.25">
      <c r="I672" t="s">
        <v>10396</v>
      </c>
      <c r="J672" t="s">
        <v>3106</v>
      </c>
      <c r="K672" t="s">
        <v>9089</v>
      </c>
      <c r="L672" t="s">
        <v>10397</v>
      </c>
      <c r="M672" t="s">
        <v>9091</v>
      </c>
    </row>
    <row r="673" spans="9:13" x14ac:dyDescent="0.25">
      <c r="I673" t="s">
        <v>10398</v>
      </c>
      <c r="J673" t="s">
        <v>3983</v>
      </c>
      <c r="K673" t="s">
        <v>9223</v>
      </c>
      <c r="L673" t="s">
        <v>10399</v>
      </c>
      <c r="M673" t="s">
        <v>9225</v>
      </c>
    </row>
    <row r="674" spans="9:13" x14ac:dyDescent="0.25">
      <c r="I674" t="s">
        <v>10400</v>
      </c>
      <c r="J674" t="s">
        <v>5108</v>
      </c>
      <c r="K674" t="s">
        <v>9174</v>
      </c>
      <c r="L674" t="s">
        <v>10401</v>
      </c>
      <c r="M674" t="s">
        <v>9176</v>
      </c>
    </row>
    <row r="675" spans="9:13" x14ac:dyDescent="0.25">
      <c r="I675" t="s">
        <v>10402</v>
      </c>
      <c r="J675" t="s">
        <v>8494</v>
      </c>
      <c r="K675" t="s">
        <v>9187</v>
      </c>
      <c r="L675" t="s">
        <v>10403</v>
      </c>
      <c r="M675" t="s">
        <v>9189</v>
      </c>
    </row>
    <row r="676" spans="9:13" x14ac:dyDescent="0.25">
      <c r="I676" t="s">
        <v>10404</v>
      </c>
      <c r="J676" t="s">
        <v>2121</v>
      </c>
      <c r="K676" t="s">
        <v>9267</v>
      </c>
      <c r="L676" t="s">
        <v>10405</v>
      </c>
      <c r="M676" t="s">
        <v>9269</v>
      </c>
    </row>
    <row r="677" spans="9:13" x14ac:dyDescent="0.25">
      <c r="I677" t="s">
        <v>10406</v>
      </c>
      <c r="J677" t="s">
        <v>2090</v>
      </c>
      <c r="K677" t="s">
        <v>9700</v>
      </c>
      <c r="L677" t="s">
        <v>10407</v>
      </c>
      <c r="M677" t="s">
        <v>9702</v>
      </c>
    </row>
    <row r="678" spans="9:13" x14ac:dyDescent="0.25">
      <c r="I678" t="s">
        <v>10408</v>
      </c>
      <c r="J678" t="s">
        <v>1847</v>
      </c>
      <c r="K678" t="s">
        <v>9280</v>
      </c>
      <c r="L678" t="s">
        <v>10409</v>
      </c>
      <c r="M678" t="s">
        <v>9282</v>
      </c>
    </row>
    <row r="679" spans="9:13" x14ac:dyDescent="0.25">
      <c r="I679" t="s">
        <v>10410</v>
      </c>
      <c r="J679" t="s">
        <v>2153</v>
      </c>
      <c r="K679" t="s">
        <v>9252</v>
      </c>
      <c r="L679" t="s">
        <v>10411</v>
      </c>
      <c r="M679" t="s">
        <v>9254</v>
      </c>
    </row>
    <row r="680" spans="9:13" x14ac:dyDescent="0.25">
      <c r="I680" t="s">
        <v>10412</v>
      </c>
      <c r="J680" t="s">
        <v>5692</v>
      </c>
      <c r="K680" t="s">
        <v>9223</v>
      </c>
      <c r="L680" t="s">
        <v>10413</v>
      </c>
      <c r="M680" t="s">
        <v>9225</v>
      </c>
    </row>
    <row r="681" spans="9:13" x14ac:dyDescent="0.25">
      <c r="I681" t="s">
        <v>10414</v>
      </c>
      <c r="J681" t="s">
        <v>2055</v>
      </c>
      <c r="K681" t="s">
        <v>9546</v>
      </c>
      <c r="L681" t="s">
        <v>10415</v>
      </c>
      <c r="M681" t="s">
        <v>10416</v>
      </c>
    </row>
    <row r="682" spans="9:13" x14ac:dyDescent="0.25">
      <c r="I682" t="s">
        <v>10417</v>
      </c>
      <c r="J682" t="s">
        <v>5561</v>
      </c>
      <c r="K682" t="s">
        <v>9136</v>
      </c>
      <c r="L682" t="s">
        <v>9578</v>
      </c>
      <c r="M682" t="s">
        <v>9138</v>
      </c>
    </row>
    <row r="683" spans="9:13" x14ac:dyDescent="0.25">
      <c r="I683" t="s">
        <v>10418</v>
      </c>
      <c r="J683" t="s">
        <v>8252</v>
      </c>
      <c r="K683" t="s">
        <v>9223</v>
      </c>
      <c r="L683" t="s">
        <v>9578</v>
      </c>
      <c r="M683" t="s">
        <v>9225</v>
      </c>
    </row>
    <row r="684" spans="9:13" x14ac:dyDescent="0.25">
      <c r="I684" t="s">
        <v>10419</v>
      </c>
      <c r="J684" t="s">
        <v>3707</v>
      </c>
      <c r="K684" t="s">
        <v>9098</v>
      </c>
      <c r="L684" t="s">
        <v>10420</v>
      </c>
      <c r="M684" t="s">
        <v>9100</v>
      </c>
    </row>
    <row r="685" spans="9:13" x14ac:dyDescent="0.25">
      <c r="I685" t="s">
        <v>10421</v>
      </c>
      <c r="J685" t="s">
        <v>6011</v>
      </c>
      <c r="K685" t="s">
        <v>9537</v>
      </c>
      <c r="L685" t="s">
        <v>10422</v>
      </c>
      <c r="M685" t="s">
        <v>9539</v>
      </c>
    </row>
    <row r="686" spans="9:13" x14ac:dyDescent="0.25">
      <c r="I686" t="s">
        <v>10423</v>
      </c>
      <c r="J686" t="s">
        <v>462</v>
      </c>
      <c r="K686" t="s">
        <v>9223</v>
      </c>
      <c r="L686" t="s">
        <v>10424</v>
      </c>
      <c r="M686" t="s">
        <v>9225</v>
      </c>
    </row>
    <row r="687" spans="9:13" x14ac:dyDescent="0.25">
      <c r="I687" t="s">
        <v>10425</v>
      </c>
      <c r="J687" t="s">
        <v>781</v>
      </c>
      <c r="K687" t="s">
        <v>9098</v>
      </c>
      <c r="L687" t="s">
        <v>10426</v>
      </c>
      <c r="M687" t="s">
        <v>9100</v>
      </c>
    </row>
    <row r="688" spans="9:13" x14ac:dyDescent="0.25">
      <c r="I688" t="s">
        <v>10427</v>
      </c>
      <c r="J688" t="s">
        <v>5087</v>
      </c>
      <c r="K688" t="s">
        <v>9585</v>
      </c>
      <c r="L688" t="s">
        <v>10428</v>
      </c>
      <c r="M688" t="s">
        <v>9587</v>
      </c>
    </row>
    <row r="689" spans="9:13" x14ac:dyDescent="0.25">
      <c r="I689" t="s">
        <v>10429</v>
      </c>
      <c r="J689" t="s">
        <v>2224</v>
      </c>
      <c r="K689" t="s">
        <v>9219</v>
      </c>
      <c r="L689" t="s">
        <v>10430</v>
      </c>
      <c r="M689" t="s">
        <v>9221</v>
      </c>
    </row>
    <row r="690" spans="9:13" x14ac:dyDescent="0.25">
      <c r="I690" t="s">
        <v>10431</v>
      </c>
      <c r="J690" t="s">
        <v>6589</v>
      </c>
      <c r="K690" t="s">
        <v>9174</v>
      </c>
      <c r="L690" t="s">
        <v>9837</v>
      </c>
      <c r="M690" t="s">
        <v>9176</v>
      </c>
    </row>
    <row r="691" spans="9:13" x14ac:dyDescent="0.25">
      <c r="I691" t="s">
        <v>10432</v>
      </c>
      <c r="J691" t="s">
        <v>1682</v>
      </c>
      <c r="K691" t="s">
        <v>9231</v>
      </c>
      <c r="L691" t="s">
        <v>10433</v>
      </c>
      <c r="M691" t="s">
        <v>9233</v>
      </c>
    </row>
    <row r="692" spans="9:13" x14ac:dyDescent="0.25">
      <c r="I692" t="s">
        <v>10434</v>
      </c>
      <c r="J692" t="s">
        <v>6046</v>
      </c>
      <c r="K692" t="s">
        <v>9213</v>
      </c>
      <c r="L692" t="s">
        <v>10435</v>
      </c>
      <c r="M692" t="s">
        <v>9215</v>
      </c>
    </row>
    <row r="693" spans="9:13" x14ac:dyDescent="0.25">
      <c r="I693" t="s">
        <v>10436</v>
      </c>
      <c r="J693" t="s">
        <v>2508</v>
      </c>
      <c r="K693" t="s">
        <v>9098</v>
      </c>
      <c r="L693" t="s">
        <v>10437</v>
      </c>
      <c r="M693" t="s">
        <v>9100</v>
      </c>
    </row>
    <row r="694" spans="9:13" x14ac:dyDescent="0.25">
      <c r="I694" t="s">
        <v>10438</v>
      </c>
      <c r="J694" t="s">
        <v>6927</v>
      </c>
      <c r="K694" t="s">
        <v>9098</v>
      </c>
      <c r="L694" t="s">
        <v>10439</v>
      </c>
      <c r="M694" t="s">
        <v>9100</v>
      </c>
    </row>
    <row r="695" spans="9:13" x14ac:dyDescent="0.25">
      <c r="I695" t="s">
        <v>10440</v>
      </c>
      <c r="J695" t="s">
        <v>6159</v>
      </c>
      <c r="K695" t="s">
        <v>9386</v>
      </c>
      <c r="L695" t="s">
        <v>10441</v>
      </c>
      <c r="M695" t="s">
        <v>9388</v>
      </c>
    </row>
    <row r="696" spans="9:13" x14ac:dyDescent="0.25">
      <c r="I696" t="s">
        <v>10442</v>
      </c>
      <c r="J696" t="s">
        <v>4994</v>
      </c>
      <c r="K696" t="s">
        <v>9219</v>
      </c>
      <c r="L696" t="s">
        <v>10443</v>
      </c>
      <c r="M696" t="s">
        <v>9221</v>
      </c>
    </row>
    <row r="697" spans="9:13" x14ac:dyDescent="0.25">
      <c r="I697" t="s">
        <v>10444</v>
      </c>
      <c r="J697" t="s">
        <v>2691</v>
      </c>
      <c r="K697" t="s">
        <v>9213</v>
      </c>
      <c r="L697" t="s">
        <v>10445</v>
      </c>
      <c r="M697" t="s">
        <v>9215</v>
      </c>
    </row>
    <row r="698" spans="9:13" x14ac:dyDescent="0.25">
      <c r="I698" t="s">
        <v>10446</v>
      </c>
      <c r="J698" t="s">
        <v>6780</v>
      </c>
      <c r="K698" t="s">
        <v>9095</v>
      </c>
      <c r="L698" t="s">
        <v>10447</v>
      </c>
      <c r="M698" t="s">
        <v>9095</v>
      </c>
    </row>
    <row r="699" spans="9:13" x14ac:dyDescent="0.25">
      <c r="I699" t="s">
        <v>10448</v>
      </c>
      <c r="J699" t="s">
        <v>3872</v>
      </c>
      <c r="K699" t="s">
        <v>9174</v>
      </c>
      <c r="L699" t="s">
        <v>10449</v>
      </c>
      <c r="M699" t="s">
        <v>9176</v>
      </c>
    </row>
    <row r="700" spans="9:13" x14ac:dyDescent="0.25">
      <c r="I700" t="s">
        <v>10450</v>
      </c>
      <c r="J700" t="s">
        <v>10451</v>
      </c>
      <c r="K700" t="s">
        <v>9700</v>
      </c>
      <c r="L700" t="s">
        <v>10452</v>
      </c>
      <c r="M700" t="s">
        <v>9702</v>
      </c>
    </row>
    <row r="701" spans="9:13" x14ac:dyDescent="0.25">
      <c r="I701" t="s">
        <v>10453</v>
      </c>
      <c r="J701" t="s">
        <v>8482</v>
      </c>
      <c r="K701" t="s">
        <v>9174</v>
      </c>
      <c r="L701" t="s">
        <v>10454</v>
      </c>
      <c r="M701" t="s">
        <v>9176</v>
      </c>
    </row>
    <row r="702" spans="9:13" x14ac:dyDescent="0.25">
      <c r="I702" t="s">
        <v>10455</v>
      </c>
      <c r="J702" t="s">
        <v>5669</v>
      </c>
      <c r="K702" t="s">
        <v>9386</v>
      </c>
      <c r="L702" t="s">
        <v>10454</v>
      </c>
      <c r="M702" t="s">
        <v>9388</v>
      </c>
    </row>
    <row r="703" spans="9:13" x14ac:dyDescent="0.25">
      <c r="I703" t="s">
        <v>10456</v>
      </c>
      <c r="J703" t="s">
        <v>110</v>
      </c>
      <c r="K703" t="s">
        <v>9182</v>
      </c>
      <c r="L703" t="s">
        <v>10457</v>
      </c>
      <c r="M703" t="s">
        <v>9184</v>
      </c>
    </row>
    <row r="704" spans="9:13" x14ac:dyDescent="0.25">
      <c r="I704" t="s">
        <v>10458</v>
      </c>
      <c r="J704" t="s">
        <v>3799</v>
      </c>
      <c r="K704" t="s">
        <v>9174</v>
      </c>
      <c r="L704" t="s">
        <v>10459</v>
      </c>
      <c r="M704" t="s">
        <v>9176</v>
      </c>
    </row>
    <row r="705" spans="9:13" x14ac:dyDescent="0.25">
      <c r="I705" t="s">
        <v>10460</v>
      </c>
      <c r="J705" t="s">
        <v>2769</v>
      </c>
      <c r="K705" t="s">
        <v>9136</v>
      </c>
      <c r="L705" t="s">
        <v>10461</v>
      </c>
      <c r="M705" t="s">
        <v>9138</v>
      </c>
    </row>
    <row r="706" spans="9:13" x14ac:dyDescent="0.25">
      <c r="I706" t="s">
        <v>10462</v>
      </c>
      <c r="J706" t="s">
        <v>7337</v>
      </c>
      <c r="K706" t="s">
        <v>9284</v>
      </c>
      <c r="L706" t="s">
        <v>10463</v>
      </c>
      <c r="M706" t="s">
        <v>9286</v>
      </c>
    </row>
    <row r="707" spans="9:13" x14ac:dyDescent="0.25">
      <c r="I707" t="s">
        <v>10464</v>
      </c>
      <c r="J707" t="s">
        <v>2220</v>
      </c>
      <c r="K707" t="s">
        <v>9182</v>
      </c>
      <c r="L707" t="s">
        <v>10465</v>
      </c>
      <c r="M707" t="s">
        <v>9184</v>
      </c>
    </row>
    <row r="708" spans="9:13" x14ac:dyDescent="0.25">
      <c r="I708" t="s">
        <v>10466</v>
      </c>
      <c r="J708" t="s">
        <v>8644</v>
      </c>
      <c r="K708" t="s">
        <v>9288</v>
      </c>
      <c r="L708" t="s">
        <v>10467</v>
      </c>
      <c r="M708" t="s">
        <v>9290</v>
      </c>
    </row>
    <row r="709" spans="9:13" x14ac:dyDescent="0.25">
      <c r="I709" t="s">
        <v>10468</v>
      </c>
      <c r="J709" t="s">
        <v>7657</v>
      </c>
      <c r="K709" t="s">
        <v>9084</v>
      </c>
      <c r="L709" t="s">
        <v>10469</v>
      </c>
      <c r="M709" t="s">
        <v>9086</v>
      </c>
    </row>
    <row r="710" spans="9:13" x14ac:dyDescent="0.25">
      <c r="I710" t="s">
        <v>10470</v>
      </c>
      <c r="J710" t="s">
        <v>4619</v>
      </c>
      <c r="K710" t="s">
        <v>9644</v>
      </c>
      <c r="L710" t="s">
        <v>10471</v>
      </c>
      <c r="M710" t="s">
        <v>9646</v>
      </c>
    </row>
    <row r="711" spans="9:13" x14ac:dyDescent="0.25">
      <c r="I711" t="s">
        <v>10472</v>
      </c>
      <c r="J711" t="s">
        <v>2775</v>
      </c>
      <c r="K711" t="s">
        <v>9550</v>
      </c>
      <c r="L711" t="s">
        <v>10473</v>
      </c>
      <c r="M711" t="s">
        <v>9552</v>
      </c>
    </row>
    <row r="712" spans="9:13" x14ac:dyDescent="0.25">
      <c r="I712" t="s">
        <v>10474</v>
      </c>
      <c r="J712" t="s">
        <v>5013</v>
      </c>
      <c r="K712" t="s">
        <v>9434</v>
      </c>
      <c r="L712" t="s">
        <v>10475</v>
      </c>
      <c r="M712" t="s">
        <v>9436</v>
      </c>
    </row>
    <row r="713" spans="9:13" x14ac:dyDescent="0.25">
      <c r="I713" t="s">
        <v>10476</v>
      </c>
      <c r="J713" t="s">
        <v>4276</v>
      </c>
      <c r="K713" t="s">
        <v>9174</v>
      </c>
      <c r="L713" t="s">
        <v>10477</v>
      </c>
      <c r="M713" t="s">
        <v>9176</v>
      </c>
    </row>
    <row r="714" spans="9:13" x14ac:dyDescent="0.25">
      <c r="I714" t="s">
        <v>10478</v>
      </c>
      <c r="J714" t="s">
        <v>1890</v>
      </c>
      <c r="K714" t="s">
        <v>9223</v>
      </c>
      <c r="L714" t="s">
        <v>10479</v>
      </c>
      <c r="M714" t="s">
        <v>9225</v>
      </c>
    </row>
    <row r="715" spans="9:13" x14ac:dyDescent="0.25">
      <c r="I715" t="s">
        <v>10480</v>
      </c>
      <c r="J715" t="s">
        <v>10481</v>
      </c>
      <c r="K715" t="s">
        <v>10090</v>
      </c>
      <c r="L715" t="s">
        <v>10482</v>
      </c>
      <c r="M715" t="s">
        <v>10092</v>
      </c>
    </row>
    <row r="716" spans="9:13" x14ac:dyDescent="0.25">
      <c r="I716" t="s">
        <v>10483</v>
      </c>
      <c r="J716" t="s">
        <v>2912</v>
      </c>
      <c r="K716" t="s">
        <v>9098</v>
      </c>
      <c r="L716" t="s">
        <v>10484</v>
      </c>
      <c r="M716" t="s">
        <v>9100</v>
      </c>
    </row>
    <row r="717" spans="9:13" x14ac:dyDescent="0.25">
      <c r="I717" t="s">
        <v>10485</v>
      </c>
      <c r="J717" t="s">
        <v>1329</v>
      </c>
      <c r="K717" t="s">
        <v>9316</v>
      </c>
      <c r="L717" t="s">
        <v>10486</v>
      </c>
      <c r="M717" t="s">
        <v>9318</v>
      </c>
    </row>
    <row r="718" spans="9:13" x14ac:dyDescent="0.25">
      <c r="I718" t="s">
        <v>10487</v>
      </c>
      <c r="J718" t="s">
        <v>776</v>
      </c>
      <c r="K718" t="s">
        <v>10488</v>
      </c>
      <c r="L718" t="s">
        <v>10489</v>
      </c>
      <c r="M718" t="s">
        <v>10490</v>
      </c>
    </row>
    <row r="719" spans="9:13" x14ac:dyDescent="0.25">
      <c r="I719" t="s">
        <v>10491</v>
      </c>
      <c r="J719" t="s">
        <v>4489</v>
      </c>
      <c r="K719" t="s">
        <v>9182</v>
      </c>
      <c r="L719" t="s">
        <v>10492</v>
      </c>
      <c r="M719" t="s">
        <v>9184</v>
      </c>
    </row>
    <row r="720" spans="9:13" x14ac:dyDescent="0.25">
      <c r="I720" t="s">
        <v>10493</v>
      </c>
      <c r="J720" t="s">
        <v>8426</v>
      </c>
      <c r="K720" t="s">
        <v>9095</v>
      </c>
      <c r="L720" t="s">
        <v>10494</v>
      </c>
      <c r="M720" t="s">
        <v>9095</v>
      </c>
    </row>
    <row r="721" spans="9:13" x14ac:dyDescent="0.25">
      <c r="I721" t="s">
        <v>10495</v>
      </c>
      <c r="J721" t="s">
        <v>6855</v>
      </c>
      <c r="K721" t="s">
        <v>9182</v>
      </c>
      <c r="L721" t="s">
        <v>10496</v>
      </c>
      <c r="M721" t="s">
        <v>9184</v>
      </c>
    </row>
    <row r="722" spans="9:13" x14ac:dyDescent="0.25">
      <c r="I722" t="s">
        <v>10497</v>
      </c>
      <c r="J722" t="s">
        <v>4261</v>
      </c>
      <c r="K722" t="s">
        <v>9136</v>
      </c>
      <c r="L722" t="s">
        <v>10498</v>
      </c>
      <c r="M722" t="s">
        <v>9138</v>
      </c>
    </row>
    <row r="723" spans="9:13" x14ac:dyDescent="0.25">
      <c r="I723" t="s">
        <v>10499</v>
      </c>
      <c r="J723" t="s">
        <v>4163</v>
      </c>
      <c r="K723" t="s">
        <v>9213</v>
      </c>
      <c r="L723" t="s">
        <v>10500</v>
      </c>
      <c r="M723" t="s">
        <v>9215</v>
      </c>
    </row>
    <row r="724" spans="9:13" x14ac:dyDescent="0.25">
      <c r="I724" t="s">
        <v>10501</v>
      </c>
      <c r="J724" t="s">
        <v>6059</v>
      </c>
      <c r="K724" t="s">
        <v>9089</v>
      </c>
      <c r="L724" t="s">
        <v>10502</v>
      </c>
      <c r="M724" t="s">
        <v>9091</v>
      </c>
    </row>
    <row r="725" spans="9:13" x14ac:dyDescent="0.25">
      <c r="I725" t="s">
        <v>10503</v>
      </c>
      <c r="J725" t="s">
        <v>3493</v>
      </c>
      <c r="K725" t="s">
        <v>9118</v>
      </c>
      <c r="L725" t="s">
        <v>10504</v>
      </c>
      <c r="M725" t="s">
        <v>9120</v>
      </c>
    </row>
    <row r="726" spans="9:13" x14ac:dyDescent="0.25">
      <c r="I726" t="s">
        <v>10505</v>
      </c>
      <c r="J726" t="s">
        <v>2577</v>
      </c>
      <c r="K726" t="s">
        <v>9206</v>
      </c>
      <c r="L726" t="s">
        <v>10506</v>
      </c>
      <c r="M726" t="s">
        <v>9208</v>
      </c>
    </row>
    <row r="727" spans="9:13" x14ac:dyDescent="0.25">
      <c r="I727" t="s">
        <v>10507</v>
      </c>
      <c r="J727" t="s">
        <v>5901</v>
      </c>
      <c r="K727" t="s">
        <v>9467</v>
      </c>
      <c r="L727" t="s">
        <v>10508</v>
      </c>
      <c r="M727" t="s">
        <v>9469</v>
      </c>
    </row>
    <row r="728" spans="9:13" x14ac:dyDescent="0.25">
      <c r="I728" t="s">
        <v>10509</v>
      </c>
      <c r="J728" t="s">
        <v>2871</v>
      </c>
      <c r="K728" t="s">
        <v>9467</v>
      </c>
      <c r="L728" t="s">
        <v>10510</v>
      </c>
      <c r="M728" t="s">
        <v>9469</v>
      </c>
    </row>
    <row r="729" spans="9:13" x14ac:dyDescent="0.25">
      <c r="I729" t="s">
        <v>10511</v>
      </c>
      <c r="J729" t="s">
        <v>2413</v>
      </c>
      <c r="K729" t="s">
        <v>9182</v>
      </c>
      <c r="L729" t="s">
        <v>10512</v>
      </c>
      <c r="M729" t="s">
        <v>9184</v>
      </c>
    </row>
    <row r="730" spans="9:13" x14ac:dyDescent="0.25">
      <c r="I730" t="s">
        <v>10513</v>
      </c>
      <c r="J730" t="s">
        <v>3769</v>
      </c>
      <c r="K730" t="s">
        <v>9182</v>
      </c>
      <c r="L730" t="s">
        <v>10514</v>
      </c>
      <c r="M730" t="s">
        <v>9184</v>
      </c>
    </row>
    <row r="731" spans="9:13" x14ac:dyDescent="0.25">
      <c r="I731" t="s">
        <v>10515</v>
      </c>
      <c r="J731" t="s">
        <v>3869</v>
      </c>
      <c r="K731" t="s">
        <v>9095</v>
      </c>
      <c r="L731" t="s">
        <v>10516</v>
      </c>
      <c r="M731" t="s">
        <v>9095</v>
      </c>
    </row>
    <row r="732" spans="9:13" x14ac:dyDescent="0.25">
      <c r="I732" t="s">
        <v>10517</v>
      </c>
      <c r="J732" t="s">
        <v>4030</v>
      </c>
      <c r="K732" t="s">
        <v>9304</v>
      </c>
      <c r="L732" t="s">
        <v>10518</v>
      </c>
      <c r="M732" t="s">
        <v>9306</v>
      </c>
    </row>
    <row r="733" spans="9:13" x14ac:dyDescent="0.25">
      <c r="I733" t="s">
        <v>10519</v>
      </c>
      <c r="J733" t="s">
        <v>5588</v>
      </c>
      <c r="K733" t="s">
        <v>9174</v>
      </c>
      <c r="L733" t="s">
        <v>10520</v>
      </c>
      <c r="M733" t="s">
        <v>9176</v>
      </c>
    </row>
    <row r="734" spans="9:13" x14ac:dyDescent="0.25">
      <c r="I734" t="s">
        <v>10521</v>
      </c>
      <c r="J734" t="s">
        <v>5287</v>
      </c>
      <c r="K734" t="s">
        <v>9174</v>
      </c>
      <c r="L734" t="s">
        <v>10522</v>
      </c>
      <c r="M734" t="s">
        <v>9176</v>
      </c>
    </row>
    <row r="735" spans="9:13" x14ac:dyDescent="0.25">
      <c r="I735" t="s">
        <v>10523</v>
      </c>
      <c r="J735" t="s">
        <v>3001</v>
      </c>
      <c r="K735" t="s">
        <v>9182</v>
      </c>
      <c r="L735" t="s">
        <v>10524</v>
      </c>
      <c r="M735" t="s">
        <v>9184</v>
      </c>
    </row>
    <row r="736" spans="9:13" x14ac:dyDescent="0.25">
      <c r="I736" t="s">
        <v>10525</v>
      </c>
      <c r="J736" t="s">
        <v>3145</v>
      </c>
      <c r="K736" t="s">
        <v>9174</v>
      </c>
      <c r="L736" t="s">
        <v>10526</v>
      </c>
      <c r="M736" t="s">
        <v>9176</v>
      </c>
    </row>
    <row r="737" spans="9:13" x14ac:dyDescent="0.25">
      <c r="I737" t="s">
        <v>10527</v>
      </c>
      <c r="J737" t="s">
        <v>3062</v>
      </c>
      <c r="K737" t="s">
        <v>9223</v>
      </c>
      <c r="L737" t="s">
        <v>10528</v>
      </c>
      <c r="M737" t="s">
        <v>9225</v>
      </c>
    </row>
    <row r="738" spans="9:13" x14ac:dyDescent="0.25">
      <c r="I738" t="s">
        <v>10529</v>
      </c>
      <c r="J738" t="s">
        <v>2807</v>
      </c>
      <c r="K738" t="s">
        <v>9174</v>
      </c>
      <c r="L738" t="s">
        <v>10530</v>
      </c>
      <c r="M738" t="s">
        <v>9176</v>
      </c>
    </row>
    <row r="739" spans="9:13" x14ac:dyDescent="0.25">
      <c r="I739" t="s">
        <v>10531</v>
      </c>
      <c r="J739" t="s">
        <v>3806</v>
      </c>
      <c r="K739" t="s">
        <v>9223</v>
      </c>
      <c r="L739" t="s">
        <v>10532</v>
      </c>
      <c r="M739" t="s">
        <v>9225</v>
      </c>
    </row>
    <row r="740" spans="9:13" x14ac:dyDescent="0.25">
      <c r="I740" t="s">
        <v>10533</v>
      </c>
      <c r="J740" t="s">
        <v>7323</v>
      </c>
      <c r="K740" t="s">
        <v>9118</v>
      </c>
      <c r="L740" t="s">
        <v>10534</v>
      </c>
      <c r="M740" t="s">
        <v>9120</v>
      </c>
    </row>
    <row r="741" spans="9:13" x14ac:dyDescent="0.25">
      <c r="I741" t="s">
        <v>10535</v>
      </c>
      <c r="J741" t="s">
        <v>2512</v>
      </c>
      <c r="K741" t="s">
        <v>9386</v>
      </c>
      <c r="L741" t="s">
        <v>10536</v>
      </c>
      <c r="M741" t="s">
        <v>9388</v>
      </c>
    </row>
    <row r="742" spans="9:13" x14ac:dyDescent="0.25">
      <c r="I742" t="s">
        <v>10537</v>
      </c>
      <c r="J742" t="s">
        <v>6390</v>
      </c>
      <c r="K742" t="s">
        <v>10224</v>
      </c>
      <c r="L742" t="s">
        <v>10538</v>
      </c>
      <c r="M742" t="s">
        <v>10226</v>
      </c>
    </row>
    <row r="743" spans="9:13" x14ac:dyDescent="0.25">
      <c r="I743" t="s">
        <v>10539</v>
      </c>
      <c r="J743" t="s">
        <v>1723</v>
      </c>
      <c r="K743" t="s">
        <v>9231</v>
      </c>
      <c r="L743" t="s">
        <v>10540</v>
      </c>
      <c r="M743" t="s">
        <v>9233</v>
      </c>
    </row>
    <row r="744" spans="9:13" x14ac:dyDescent="0.25">
      <c r="I744" t="s">
        <v>10541</v>
      </c>
      <c r="J744" t="s">
        <v>4781</v>
      </c>
      <c r="K744" t="s">
        <v>9098</v>
      </c>
      <c r="L744" t="s">
        <v>10542</v>
      </c>
      <c r="M744" t="s">
        <v>9100</v>
      </c>
    </row>
    <row r="745" spans="9:13" x14ac:dyDescent="0.25">
      <c r="I745" t="s">
        <v>10543</v>
      </c>
      <c r="J745" t="s">
        <v>4843</v>
      </c>
      <c r="K745" t="s">
        <v>9174</v>
      </c>
      <c r="L745" t="s">
        <v>10544</v>
      </c>
      <c r="M745" t="s">
        <v>9176</v>
      </c>
    </row>
    <row r="746" spans="9:13" x14ac:dyDescent="0.25">
      <c r="I746" t="s">
        <v>10545</v>
      </c>
      <c r="J746" t="s">
        <v>4444</v>
      </c>
      <c r="K746" t="s">
        <v>9102</v>
      </c>
      <c r="L746" t="s">
        <v>10546</v>
      </c>
      <c r="M746" t="s">
        <v>9104</v>
      </c>
    </row>
    <row r="747" spans="9:13" x14ac:dyDescent="0.25">
      <c r="I747" t="s">
        <v>10547</v>
      </c>
      <c r="J747" t="s">
        <v>1754</v>
      </c>
      <c r="K747" t="s">
        <v>9231</v>
      </c>
      <c r="L747" t="s">
        <v>10548</v>
      </c>
      <c r="M747" t="s">
        <v>9233</v>
      </c>
    </row>
    <row r="748" spans="9:13" x14ac:dyDescent="0.25">
      <c r="I748" t="s">
        <v>10549</v>
      </c>
      <c r="J748" t="s">
        <v>5117</v>
      </c>
      <c r="K748" t="s">
        <v>9280</v>
      </c>
      <c r="L748" t="s">
        <v>10550</v>
      </c>
      <c r="M748" t="s">
        <v>9282</v>
      </c>
    </row>
    <row r="749" spans="9:13" x14ac:dyDescent="0.25">
      <c r="I749" t="s">
        <v>10551</v>
      </c>
      <c r="J749" t="s">
        <v>1253</v>
      </c>
      <c r="K749" t="s">
        <v>9284</v>
      </c>
      <c r="L749" t="s">
        <v>10552</v>
      </c>
      <c r="M749" t="s">
        <v>9286</v>
      </c>
    </row>
    <row r="750" spans="9:13" x14ac:dyDescent="0.25">
      <c r="I750" t="s">
        <v>10553</v>
      </c>
      <c r="J750" t="s">
        <v>10554</v>
      </c>
      <c r="K750" t="s">
        <v>9182</v>
      </c>
      <c r="L750" t="s">
        <v>10555</v>
      </c>
      <c r="M750" t="s">
        <v>9184</v>
      </c>
    </row>
    <row r="751" spans="9:13" x14ac:dyDescent="0.25">
      <c r="I751" t="s">
        <v>10556</v>
      </c>
      <c r="J751" t="s">
        <v>3455</v>
      </c>
      <c r="K751" t="s">
        <v>9182</v>
      </c>
      <c r="L751" t="s">
        <v>10557</v>
      </c>
      <c r="M751" t="s">
        <v>9184</v>
      </c>
    </row>
    <row r="752" spans="9:13" x14ac:dyDescent="0.25">
      <c r="I752" t="s">
        <v>10558</v>
      </c>
      <c r="J752" t="s">
        <v>2679</v>
      </c>
      <c r="K752" t="s">
        <v>9182</v>
      </c>
      <c r="L752" t="s">
        <v>10559</v>
      </c>
      <c r="M752" t="s">
        <v>9184</v>
      </c>
    </row>
    <row r="753" spans="9:13" x14ac:dyDescent="0.25">
      <c r="I753" t="s">
        <v>10560</v>
      </c>
      <c r="J753" t="s">
        <v>10561</v>
      </c>
      <c r="K753" t="s">
        <v>9386</v>
      </c>
      <c r="L753" t="s">
        <v>10562</v>
      </c>
      <c r="M753" t="s">
        <v>9388</v>
      </c>
    </row>
    <row r="754" spans="9:13" x14ac:dyDescent="0.25">
      <c r="I754" t="s">
        <v>10563</v>
      </c>
      <c r="J754" t="s">
        <v>5743</v>
      </c>
      <c r="K754" t="s">
        <v>9585</v>
      </c>
      <c r="L754" t="s">
        <v>10564</v>
      </c>
      <c r="M754" t="s">
        <v>9587</v>
      </c>
    </row>
    <row r="755" spans="9:13" x14ac:dyDescent="0.25">
      <c r="I755" t="s">
        <v>10565</v>
      </c>
      <c r="J755" t="s">
        <v>1281</v>
      </c>
      <c r="K755" t="s">
        <v>10165</v>
      </c>
      <c r="L755" t="s">
        <v>10566</v>
      </c>
      <c r="M755" t="s">
        <v>10167</v>
      </c>
    </row>
    <row r="756" spans="9:13" x14ac:dyDescent="0.25">
      <c r="I756" t="s">
        <v>10567</v>
      </c>
      <c r="J756" t="s">
        <v>2971</v>
      </c>
      <c r="K756" t="s">
        <v>9089</v>
      </c>
      <c r="L756" t="s">
        <v>10568</v>
      </c>
      <c r="M756" t="s">
        <v>9091</v>
      </c>
    </row>
    <row r="757" spans="9:13" x14ac:dyDescent="0.25">
      <c r="I757" t="s">
        <v>10569</v>
      </c>
      <c r="J757" t="s">
        <v>3412</v>
      </c>
      <c r="K757" t="s">
        <v>9161</v>
      </c>
      <c r="L757" t="s">
        <v>10570</v>
      </c>
      <c r="M757" t="s">
        <v>9163</v>
      </c>
    </row>
    <row r="758" spans="9:13" x14ac:dyDescent="0.25">
      <c r="I758" t="s">
        <v>10571</v>
      </c>
      <c r="J758" t="s">
        <v>5745</v>
      </c>
      <c r="K758" t="s">
        <v>9280</v>
      </c>
      <c r="L758" t="s">
        <v>10572</v>
      </c>
      <c r="M758" t="s">
        <v>9282</v>
      </c>
    </row>
    <row r="759" spans="9:13" x14ac:dyDescent="0.25">
      <c r="I759" t="s">
        <v>10573</v>
      </c>
      <c r="J759" t="s">
        <v>4664</v>
      </c>
      <c r="K759" t="s">
        <v>9174</v>
      </c>
      <c r="L759" t="s">
        <v>10574</v>
      </c>
      <c r="M759" t="s">
        <v>9176</v>
      </c>
    </row>
    <row r="760" spans="9:13" x14ac:dyDescent="0.25">
      <c r="I760" t="s">
        <v>10575</v>
      </c>
      <c r="J760" t="s">
        <v>8382</v>
      </c>
      <c r="K760" t="s">
        <v>9179</v>
      </c>
      <c r="L760" t="s">
        <v>10576</v>
      </c>
      <c r="M760" t="s">
        <v>9181</v>
      </c>
    </row>
    <row r="761" spans="9:13" x14ac:dyDescent="0.25">
      <c r="I761" t="s">
        <v>10577</v>
      </c>
      <c r="J761" t="s">
        <v>8698</v>
      </c>
      <c r="K761" t="s">
        <v>9386</v>
      </c>
      <c r="L761" t="s">
        <v>10578</v>
      </c>
      <c r="M761" t="s">
        <v>9388</v>
      </c>
    </row>
    <row r="762" spans="9:13" x14ac:dyDescent="0.25">
      <c r="I762" t="s">
        <v>10579</v>
      </c>
      <c r="J762" t="s">
        <v>1949</v>
      </c>
      <c r="K762" t="s">
        <v>9070</v>
      </c>
      <c r="L762" t="s">
        <v>10580</v>
      </c>
      <c r="M762" t="s">
        <v>9072</v>
      </c>
    </row>
    <row r="763" spans="9:13" x14ac:dyDescent="0.25">
      <c r="I763" t="s">
        <v>10581</v>
      </c>
      <c r="J763" t="s">
        <v>10582</v>
      </c>
      <c r="K763" t="s">
        <v>9098</v>
      </c>
      <c r="L763" t="s">
        <v>10583</v>
      </c>
      <c r="M763" t="s">
        <v>9100</v>
      </c>
    </row>
    <row r="764" spans="9:13" x14ac:dyDescent="0.25">
      <c r="I764" t="s">
        <v>10584</v>
      </c>
      <c r="J764" t="s">
        <v>3081</v>
      </c>
      <c r="K764" t="s">
        <v>10585</v>
      </c>
      <c r="L764" t="s">
        <v>10586</v>
      </c>
      <c r="M764" t="s">
        <v>10587</v>
      </c>
    </row>
    <row r="765" spans="9:13" x14ac:dyDescent="0.25">
      <c r="I765" t="s">
        <v>10588</v>
      </c>
      <c r="J765" t="s">
        <v>4314</v>
      </c>
      <c r="K765" t="s">
        <v>10224</v>
      </c>
      <c r="L765" t="s">
        <v>10589</v>
      </c>
      <c r="M765" t="s">
        <v>10226</v>
      </c>
    </row>
    <row r="766" spans="9:13" x14ac:dyDescent="0.25">
      <c r="I766" t="s">
        <v>10590</v>
      </c>
      <c r="J766" t="s">
        <v>10591</v>
      </c>
      <c r="K766" t="s">
        <v>9288</v>
      </c>
      <c r="L766" t="s">
        <v>10592</v>
      </c>
      <c r="M766" t="s">
        <v>9290</v>
      </c>
    </row>
    <row r="767" spans="9:13" x14ac:dyDescent="0.25">
      <c r="I767" t="s">
        <v>10593</v>
      </c>
      <c r="J767" t="s">
        <v>7682</v>
      </c>
      <c r="K767" t="s">
        <v>9223</v>
      </c>
      <c r="L767" t="s">
        <v>10594</v>
      </c>
      <c r="M767" t="s">
        <v>9225</v>
      </c>
    </row>
    <row r="768" spans="9:13" x14ac:dyDescent="0.25">
      <c r="I768" t="s">
        <v>10595</v>
      </c>
      <c r="J768" t="s">
        <v>1763</v>
      </c>
      <c r="K768" t="s">
        <v>9206</v>
      </c>
      <c r="L768" t="s">
        <v>10596</v>
      </c>
      <c r="M768" t="s">
        <v>9208</v>
      </c>
    </row>
    <row r="769" spans="9:13" x14ac:dyDescent="0.25">
      <c r="I769" t="s">
        <v>10597</v>
      </c>
      <c r="J769" t="s">
        <v>5054</v>
      </c>
      <c r="K769" t="s">
        <v>9098</v>
      </c>
      <c r="L769" t="s">
        <v>10598</v>
      </c>
      <c r="M769" t="s">
        <v>9100</v>
      </c>
    </row>
    <row r="770" spans="9:13" x14ac:dyDescent="0.25">
      <c r="I770" t="s">
        <v>10599</v>
      </c>
      <c r="J770" t="s">
        <v>5837</v>
      </c>
      <c r="K770" t="s">
        <v>9095</v>
      </c>
      <c r="L770" t="s">
        <v>10600</v>
      </c>
      <c r="M770" t="s">
        <v>9095</v>
      </c>
    </row>
    <row r="771" spans="9:13" x14ac:dyDescent="0.25">
      <c r="I771" t="s">
        <v>10601</v>
      </c>
      <c r="J771" t="s">
        <v>8746</v>
      </c>
      <c r="K771" t="s">
        <v>9102</v>
      </c>
      <c r="L771" t="s">
        <v>10602</v>
      </c>
      <c r="M771" t="s">
        <v>9104</v>
      </c>
    </row>
    <row r="772" spans="9:13" x14ac:dyDescent="0.25">
      <c r="I772" t="s">
        <v>10603</v>
      </c>
      <c r="J772" t="s">
        <v>2924</v>
      </c>
      <c r="K772" t="s">
        <v>9284</v>
      </c>
      <c r="L772" t="s">
        <v>10602</v>
      </c>
      <c r="M772" t="s">
        <v>9286</v>
      </c>
    </row>
    <row r="773" spans="9:13" x14ac:dyDescent="0.25">
      <c r="I773" t="s">
        <v>10604</v>
      </c>
      <c r="J773" t="s">
        <v>938</v>
      </c>
      <c r="K773" t="s">
        <v>9089</v>
      </c>
      <c r="L773" t="s">
        <v>10605</v>
      </c>
      <c r="M773" t="s">
        <v>9091</v>
      </c>
    </row>
    <row r="774" spans="9:13" x14ac:dyDescent="0.25">
      <c r="I774" t="s">
        <v>10606</v>
      </c>
      <c r="J774" t="s">
        <v>2845</v>
      </c>
      <c r="K774" t="s">
        <v>9187</v>
      </c>
      <c r="L774" t="s">
        <v>10607</v>
      </c>
      <c r="M774" t="s">
        <v>9189</v>
      </c>
    </row>
    <row r="775" spans="9:13" x14ac:dyDescent="0.25">
      <c r="I775" t="s">
        <v>10608</v>
      </c>
      <c r="J775" t="s">
        <v>10609</v>
      </c>
      <c r="K775" t="s">
        <v>9284</v>
      </c>
      <c r="L775" t="s">
        <v>10610</v>
      </c>
      <c r="M775" t="s">
        <v>9286</v>
      </c>
    </row>
    <row r="776" spans="9:13" x14ac:dyDescent="0.25">
      <c r="I776" t="s">
        <v>10611</v>
      </c>
      <c r="J776" t="s">
        <v>3464</v>
      </c>
      <c r="K776" t="s">
        <v>9161</v>
      </c>
      <c r="L776" t="s">
        <v>10612</v>
      </c>
      <c r="M776" t="s">
        <v>9163</v>
      </c>
    </row>
    <row r="777" spans="9:13" x14ac:dyDescent="0.25">
      <c r="I777" t="s">
        <v>10613</v>
      </c>
      <c r="J777" t="s">
        <v>3015</v>
      </c>
      <c r="K777" t="s">
        <v>9781</v>
      </c>
      <c r="L777" t="s">
        <v>10614</v>
      </c>
      <c r="M777" t="s">
        <v>9783</v>
      </c>
    </row>
    <row r="778" spans="9:13" x14ac:dyDescent="0.25">
      <c r="I778" t="s">
        <v>10615</v>
      </c>
      <c r="J778" t="s">
        <v>5390</v>
      </c>
      <c r="K778" t="s">
        <v>9108</v>
      </c>
      <c r="L778" t="s">
        <v>10616</v>
      </c>
      <c r="M778" t="s">
        <v>9110</v>
      </c>
    </row>
    <row r="779" spans="9:13" x14ac:dyDescent="0.25">
      <c r="I779" t="s">
        <v>10617</v>
      </c>
      <c r="J779" t="s">
        <v>10618</v>
      </c>
      <c r="K779" t="s">
        <v>9527</v>
      </c>
      <c r="L779" t="s">
        <v>10619</v>
      </c>
      <c r="M779" t="s">
        <v>9529</v>
      </c>
    </row>
    <row r="780" spans="9:13" x14ac:dyDescent="0.25">
      <c r="I780" t="s">
        <v>10620</v>
      </c>
      <c r="J780" t="s">
        <v>3467</v>
      </c>
      <c r="K780" t="s">
        <v>9386</v>
      </c>
      <c r="L780" t="s">
        <v>10621</v>
      </c>
      <c r="M780" t="s">
        <v>9388</v>
      </c>
    </row>
    <row r="781" spans="9:13" x14ac:dyDescent="0.25">
      <c r="I781" t="s">
        <v>10622</v>
      </c>
      <c r="J781" t="s">
        <v>6739</v>
      </c>
      <c r="K781" t="s">
        <v>9280</v>
      </c>
      <c r="L781" t="s">
        <v>10623</v>
      </c>
      <c r="M781" t="s">
        <v>9282</v>
      </c>
    </row>
    <row r="782" spans="9:13" x14ac:dyDescent="0.25">
      <c r="I782" t="s">
        <v>10624</v>
      </c>
      <c r="J782" t="s">
        <v>4696</v>
      </c>
      <c r="K782" t="s">
        <v>9213</v>
      </c>
      <c r="L782" t="s">
        <v>10625</v>
      </c>
      <c r="M782" t="s">
        <v>9215</v>
      </c>
    </row>
    <row r="783" spans="9:13" x14ac:dyDescent="0.25">
      <c r="I783" t="s">
        <v>10626</v>
      </c>
      <c r="J783" t="s">
        <v>1380</v>
      </c>
      <c r="K783" t="s">
        <v>9231</v>
      </c>
      <c r="L783" t="s">
        <v>10627</v>
      </c>
      <c r="M783" t="s">
        <v>9233</v>
      </c>
    </row>
    <row r="784" spans="9:13" x14ac:dyDescent="0.25">
      <c r="I784" t="s">
        <v>10628</v>
      </c>
      <c r="J784" t="s">
        <v>8684</v>
      </c>
      <c r="K784" t="s">
        <v>9231</v>
      </c>
      <c r="L784" t="s">
        <v>10629</v>
      </c>
      <c r="M784" t="s">
        <v>9233</v>
      </c>
    </row>
    <row r="785" spans="9:13" x14ac:dyDescent="0.25">
      <c r="I785" t="s">
        <v>10630</v>
      </c>
      <c r="J785" t="s">
        <v>6788</v>
      </c>
      <c r="K785" t="s">
        <v>9084</v>
      </c>
      <c r="L785" t="s">
        <v>10631</v>
      </c>
      <c r="M785" t="s">
        <v>9086</v>
      </c>
    </row>
    <row r="786" spans="9:13" x14ac:dyDescent="0.25">
      <c r="I786" t="s">
        <v>10632</v>
      </c>
      <c r="J786" t="s">
        <v>5708</v>
      </c>
      <c r="K786" t="s">
        <v>9187</v>
      </c>
      <c r="L786" t="s">
        <v>10633</v>
      </c>
      <c r="M786" t="s">
        <v>9189</v>
      </c>
    </row>
    <row r="787" spans="9:13" x14ac:dyDescent="0.25">
      <c r="I787" t="s">
        <v>10634</v>
      </c>
      <c r="J787" t="s">
        <v>8636</v>
      </c>
      <c r="K787" t="s">
        <v>9331</v>
      </c>
      <c r="L787" t="s">
        <v>10635</v>
      </c>
      <c r="M787" t="s">
        <v>9333</v>
      </c>
    </row>
    <row r="788" spans="9:13" x14ac:dyDescent="0.25">
      <c r="I788" t="s">
        <v>10636</v>
      </c>
      <c r="J788" t="s">
        <v>4024</v>
      </c>
      <c r="K788" t="s">
        <v>9155</v>
      </c>
      <c r="L788" t="s">
        <v>10637</v>
      </c>
      <c r="M788" t="s">
        <v>9157</v>
      </c>
    </row>
    <row r="789" spans="9:13" x14ac:dyDescent="0.25">
      <c r="I789" t="s">
        <v>10638</v>
      </c>
      <c r="J789" t="s">
        <v>5879</v>
      </c>
      <c r="K789" t="s">
        <v>9098</v>
      </c>
      <c r="L789" t="s">
        <v>10639</v>
      </c>
      <c r="M789" t="s">
        <v>9100</v>
      </c>
    </row>
    <row r="790" spans="9:13" x14ac:dyDescent="0.25">
      <c r="I790" t="s">
        <v>10640</v>
      </c>
      <c r="J790" t="s">
        <v>997</v>
      </c>
      <c r="K790" t="s">
        <v>9231</v>
      </c>
      <c r="L790" t="s">
        <v>10641</v>
      </c>
      <c r="M790" t="s">
        <v>9233</v>
      </c>
    </row>
    <row r="791" spans="9:13" x14ac:dyDescent="0.25">
      <c r="I791" t="s">
        <v>10642</v>
      </c>
      <c r="J791" t="s">
        <v>4959</v>
      </c>
      <c r="K791" t="s">
        <v>9136</v>
      </c>
      <c r="L791" t="s">
        <v>10643</v>
      </c>
      <c r="M791" t="s">
        <v>9138</v>
      </c>
    </row>
    <row r="792" spans="9:13" x14ac:dyDescent="0.25">
      <c r="I792" t="s">
        <v>10644</v>
      </c>
      <c r="J792" t="s">
        <v>7781</v>
      </c>
      <c r="K792" t="s">
        <v>9089</v>
      </c>
      <c r="L792" t="s">
        <v>10645</v>
      </c>
      <c r="M792" t="s">
        <v>9091</v>
      </c>
    </row>
    <row r="793" spans="9:13" x14ac:dyDescent="0.25">
      <c r="I793" t="s">
        <v>10646</v>
      </c>
      <c r="J793" t="s">
        <v>6338</v>
      </c>
      <c r="K793" t="s">
        <v>9280</v>
      </c>
      <c r="L793" t="s">
        <v>10647</v>
      </c>
      <c r="M793" t="s">
        <v>9282</v>
      </c>
    </row>
    <row r="794" spans="9:13" x14ac:dyDescent="0.25">
      <c r="I794" t="s">
        <v>10648</v>
      </c>
      <c r="J794" t="s">
        <v>10649</v>
      </c>
      <c r="K794" t="s">
        <v>9118</v>
      </c>
      <c r="L794" t="s">
        <v>10650</v>
      </c>
      <c r="M794" t="s">
        <v>9120</v>
      </c>
    </row>
    <row r="795" spans="9:13" x14ac:dyDescent="0.25">
      <c r="I795" t="s">
        <v>10651</v>
      </c>
      <c r="J795" t="s">
        <v>802</v>
      </c>
      <c r="K795" t="s">
        <v>9280</v>
      </c>
      <c r="L795" t="s">
        <v>10652</v>
      </c>
      <c r="M795" t="s">
        <v>9282</v>
      </c>
    </row>
    <row r="796" spans="9:13" x14ac:dyDescent="0.25">
      <c r="I796" t="s">
        <v>10653</v>
      </c>
      <c r="J796" t="s">
        <v>4148</v>
      </c>
      <c r="K796" t="s">
        <v>9161</v>
      </c>
      <c r="L796" t="s">
        <v>10654</v>
      </c>
      <c r="M796" t="s">
        <v>9163</v>
      </c>
    </row>
    <row r="797" spans="9:13" x14ac:dyDescent="0.25">
      <c r="I797" t="s">
        <v>10655</v>
      </c>
      <c r="J797" t="s">
        <v>4295</v>
      </c>
      <c r="K797" t="s">
        <v>9386</v>
      </c>
      <c r="L797" t="s">
        <v>10656</v>
      </c>
      <c r="M797" t="s">
        <v>9388</v>
      </c>
    </row>
    <row r="798" spans="9:13" x14ac:dyDescent="0.25">
      <c r="I798" t="s">
        <v>10657</v>
      </c>
      <c r="J798" t="s">
        <v>3208</v>
      </c>
      <c r="K798" t="s">
        <v>9182</v>
      </c>
      <c r="L798" t="s">
        <v>10658</v>
      </c>
      <c r="M798" t="s">
        <v>9184</v>
      </c>
    </row>
    <row r="799" spans="9:13" x14ac:dyDescent="0.25">
      <c r="I799" t="s">
        <v>10659</v>
      </c>
      <c r="J799" t="s">
        <v>7491</v>
      </c>
      <c r="K799" t="s">
        <v>9084</v>
      </c>
      <c r="L799" t="s">
        <v>9511</v>
      </c>
      <c r="M799" t="s">
        <v>9086</v>
      </c>
    </row>
    <row r="800" spans="9:13" x14ac:dyDescent="0.25">
      <c r="I800" t="s">
        <v>10660</v>
      </c>
      <c r="J800" t="s">
        <v>564</v>
      </c>
      <c r="K800" t="s">
        <v>9386</v>
      </c>
      <c r="L800" t="s">
        <v>10661</v>
      </c>
      <c r="M800" t="s">
        <v>9388</v>
      </c>
    </row>
    <row r="801" spans="9:13" x14ac:dyDescent="0.25">
      <c r="I801" t="s">
        <v>10662</v>
      </c>
      <c r="J801" t="s">
        <v>2920</v>
      </c>
      <c r="K801" t="s">
        <v>9223</v>
      </c>
      <c r="L801" t="s">
        <v>10663</v>
      </c>
      <c r="M801" t="s">
        <v>9225</v>
      </c>
    </row>
    <row r="802" spans="9:13" x14ac:dyDescent="0.25">
      <c r="I802" t="s">
        <v>10664</v>
      </c>
      <c r="J802" t="s">
        <v>4042</v>
      </c>
      <c r="K802" t="s">
        <v>9280</v>
      </c>
      <c r="L802" t="s">
        <v>10663</v>
      </c>
      <c r="M802" t="s">
        <v>9282</v>
      </c>
    </row>
    <row r="803" spans="9:13" x14ac:dyDescent="0.25">
      <c r="I803" t="s">
        <v>10665</v>
      </c>
      <c r="J803" t="s">
        <v>4209</v>
      </c>
      <c r="K803" t="s">
        <v>9174</v>
      </c>
      <c r="L803" t="s">
        <v>10663</v>
      </c>
      <c r="M803" t="s">
        <v>9176</v>
      </c>
    </row>
    <row r="804" spans="9:13" x14ac:dyDescent="0.25">
      <c r="I804" t="s">
        <v>10666</v>
      </c>
      <c r="J804" t="s">
        <v>4936</v>
      </c>
      <c r="K804" t="s">
        <v>9179</v>
      </c>
      <c r="L804" t="s">
        <v>10663</v>
      </c>
      <c r="M804" t="s">
        <v>9181</v>
      </c>
    </row>
    <row r="805" spans="9:13" x14ac:dyDescent="0.25">
      <c r="I805" t="s">
        <v>10667</v>
      </c>
      <c r="J805" t="s">
        <v>3453</v>
      </c>
      <c r="K805" t="s">
        <v>9098</v>
      </c>
      <c r="L805" t="s">
        <v>10668</v>
      </c>
      <c r="M805" t="s">
        <v>9100</v>
      </c>
    </row>
    <row r="806" spans="9:13" x14ac:dyDescent="0.25">
      <c r="I806" t="s">
        <v>10669</v>
      </c>
      <c r="J806" t="s">
        <v>4278</v>
      </c>
      <c r="K806" t="s">
        <v>9624</v>
      </c>
      <c r="L806" t="s">
        <v>10670</v>
      </c>
      <c r="M806" t="s">
        <v>9626</v>
      </c>
    </row>
    <row r="807" spans="9:13" x14ac:dyDescent="0.25">
      <c r="I807" t="s">
        <v>10671</v>
      </c>
      <c r="J807" t="s">
        <v>3670</v>
      </c>
      <c r="K807" t="s">
        <v>9136</v>
      </c>
      <c r="L807" t="s">
        <v>10672</v>
      </c>
      <c r="M807" t="s">
        <v>9138</v>
      </c>
    </row>
    <row r="808" spans="9:13" x14ac:dyDescent="0.25">
      <c r="I808" t="s">
        <v>10673</v>
      </c>
      <c r="J808" t="s">
        <v>3296</v>
      </c>
      <c r="K808" t="s">
        <v>9223</v>
      </c>
      <c r="L808" t="s">
        <v>10674</v>
      </c>
      <c r="M808" t="s">
        <v>9225</v>
      </c>
    </row>
    <row r="809" spans="9:13" x14ac:dyDescent="0.25">
      <c r="I809" t="s">
        <v>10675</v>
      </c>
      <c r="J809" t="s">
        <v>4368</v>
      </c>
      <c r="K809" t="s">
        <v>9161</v>
      </c>
      <c r="L809" t="s">
        <v>10674</v>
      </c>
      <c r="M809" t="s">
        <v>9163</v>
      </c>
    </row>
    <row r="810" spans="9:13" x14ac:dyDescent="0.25">
      <c r="I810" t="s">
        <v>10676</v>
      </c>
      <c r="J810" t="s">
        <v>5590</v>
      </c>
      <c r="K810" t="s">
        <v>9196</v>
      </c>
      <c r="L810" t="s">
        <v>10674</v>
      </c>
      <c r="M810" t="s">
        <v>9198</v>
      </c>
    </row>
    <row r="811" spans="9:13" x14ac:dyDescent="0.25">
      <c r="I811" t="s">
        <v>10677</v>
      </c>
      <c r="J811" t="s">
        <v>4166</v>
      </c>
      <c r="K811" t="s">
        <v>9098</v>
      </c>
      <c r="L811" t="s">
        <v>10678</v>
      </c>
      <c r="M811" t="s">
        <v>9100</v>
      </c>
    </row>
    <row r="812" spans="9:13" x14ac:dyDescent="0.25">
      <c r="I812" t="s">
        <v>10679</v>
      </c>
      <c r="J812" t="s">
        <v>4685</v>
      </c>
      <c r="K812" t="s">
        <v>9546</v>
      </c>
      <c r="L812" t="s">
        <v>10680</v>
      </c>
      <c r="M812" t="s">
        <v>10416</v>
      </c>
    </row>
    <row r="813" spans="9:13" x14ac:dyDescent="0.25">
      <c r="I813" t="s">
        <v>10681</v>
      </c>
      <c r="J813" t="s">
        <v>5991</v>
      </c>
      <c r="K813" t="s">
        <v>9223</v>
      </c>
      <c r="L813" t="s">
        <v>10682</v>
      </c>
      <c r="M813" t="s">
        <v>9225</v>
      </c>
    </row>
    <row r="814" spans="9:13" x14ac:dyDescent="0.25">
      <c r="I814" t="s">
        <v>10683</v>
      </c>
      <c r="J814" t="s">
        <v>3849</v>
      </c>
      <c r="K814" t="s">
        <v>9219</v>
      </c>
      <c r="L814" t="s">
        <v>10684</v>
      </c>
      <c r="M814" t="s">
        <v>9221</v>
      </c>
    </row>
    <row r="815" spans="9:13" x14ac:dyDescent="0.25">
      <c r="I815" t="s">
        <v>10685</v>
      </c>
      <c r="J815" t="s">
        <v>4644</v>
      </c>
      <c r="K815" t="s">
        <v>9284</v>
      </c>
      <c r="L815" t="s">
        <v>10686</v>
      </c>
      <c r="M815" t="s">
        <v>9286</v>
      </c>
    </row>
    <row r="816" spans="9:13" x14ac:dyDescent="0.25">
      <c r="I816" t="s">
        <v>10687</v>
      </c>
      <c r="J816" t="s">
        <v>4947</v>
      </c>
      <c r="K816" t="s">
        <v>9219</v>
      </c>
      <c r="L816" t="s">
        <v>10688</v>
      </c>
      <c r="M816" t="s">
        <v>9221</v>
      </c>
    </row>
    <row r="817" spans="9:13" x14ac:dyDescent="0.25">
      <c r="I817" t="s">
        <v>10689</v>
      </c>
      <c r="J817" t="s">
        <v>4436</v>
      </c>
      <c r="K817" t="s">
        <v>9304</v>
      </c>
      <c r="L817" t="s">
        <v>10688</v>
      </c>
      <c r="M817" t="s">
        <v>9306</v>
      </c>
    </row>
    <row r="818" spans="9:13" x14ac:dyDescent="0.25">
      <c r="I818" t="s">
        <v>10690</v>
      </c>
      <c r="J818" t="s">
        <v>6113</v>
      </c>
      <c r="K818" t="s">
        <v>9585</v>
      </c>
      <c r="L818" t="s">
        <v>10691</v>
      </c>
      <c r="M818" t="s">
        <v>9587</v>
      </c>
    </row>
    <row r="819" spans="9:13" x14ac:dyDescent="0.25">
      <c r="I819" t="s">
        <v>10692</v>
      </c>
      <c r="J819" t="s">
        <v>5279</v>
      </c>
      <c r="K819" t="s">
        <v>9223</v>
      </c>
      <c r="L819" t="s">
        <v>10693</v>
      </c>
      <c r="M819" t="s">
        <v>9225</v>
      </c>
    </row>
    <row r="820" spans="9:13" x14ac:dyDescent="0.25">
      <c r="I820" t="s">
        <v>10694</v>
      </c>
      <c r="J820" t="s">
        <v>4362</v>
      </c>
      <c r="K820" t="s">
        <v>9098</v>
      </c>
      <c r="L820" t="s">
        <v>10695</v>
      </c>
      <c r="M820" t="s">
        <v>9100</v>
      </c>
    </row>
    <row r="821" spans="9:13" x14ac:dyDescent="0.25">
      <c r="I821" t="s">
        <v>10696</v>
      </c>
      <c r="J821" t="s">
        <v>2209</v>
      </c>
      <c r="K821" t="s">
        <v>9219</v>
      </c>
      <c r="L821" t="s">
        <v>10697</v>
      </c>
      <c r="M821" t="s">
        <v>9221</v>
      </c>
    </row>
    <row r="822" spans="9:13" x14ac:dyDescent="0.25">
      <c r="I822" t="s">
        <v>10698</v>
      </c>
      <c r="J822" t="s">
        <v>4891</v>
      </c>
      <c r="K822" t="s">
        <v>9182</v>
      </c>
      <c r="L822" t="s">
        <v>10699</v>
      </c>
      <c r="M822" t="s">
        <v>9184</v>
      </c>
    </row>
    <row r="823" spans="9:13" x14ac:dyDescent="0.25">
      <c r="I823" t="s">
        <v>10700</v>
      </c>
      <c r="J823" t="s">
        <v>5948</v>
      </c>
      <c r="K823" t="s">
        <v>9280</v>
      </c>
      <c r="L823" t="s">
        <v>10701</v>
      </c>
      <c r="M823" t="s">
        <v>9282</v>
      </c>
    </row>
    <row r="824" spans="9:13" x14ac:dyDescent="0.25">
      <c r="I824" t="s">
        <v>10702</v>
      </c>
      <c r="J824" t="s">
        <v>490</v>
      </c>
      <c r="K824" t="s">
        <v>9223</v>
      </c>
      <c r="L824" t="s">
        <v>10703</v>
      </c>
      <c r="M824" t="s">
        <v>9225</v>
      </c>
    </row>
    <row r="825" spans="9:13" x14ac:dyDescent="0.25">
      <c r="I825" t="s">
        <v>10704</v>
      </c>
      <c r="J825" t="s">
        <v>6737</v>
      </c>
      <c r="K825" t="s">
        <v>9098</v>
      </c>
      <c r="L825" t="s">
        <v>10705</v>
      </c>
      <c r="M825" t="s">
        <v>9100</v>
      </c>
    </row>
    <row r="826" spans="9:13" x14ac:dyDescent="0.25">
      <c r="I826" t="s">
        <v>10706</v>
      </c>
      <c r="J826" t="s">
        <v>2636</v>
      </c>
      <c r="K826" t="s">
        <v>9084</v>
      </c>
      <c r="L826" t="s">
        <v>10707</v>
      </c>
      <c r="M826" t="s">
        <v>9086</v>
      </c>
    </row>
    <row r="827" spans="9:13" x14ac:dyDescent="0.25">
      <c r="I827" t="s">
        <v>10708</v>
      </c>
      <c r="J827" t="s">
        <v>4506</v>
      </c>
      <c r="K827" t="s">
        <v>9161</v>
      </c>
      <c r="L827" t="s">
        <v>10709</v>
      </c>
      <c r="M827" t="s">
        <v>9163</v>
      </c>
    </row>
    <row r="828" spans="9:13" x14ac:dyDescent="0.25">
      <c r="I828" t="s">
        <v>10710</v>
      </c>
      <c r="J828" t="s">
        <v>6118</v>
      </c>
      <c r="K828" t="s">
        <v>9108</v>
      </c>
      <c r="L828" t="s">
        <v>10711</v>
      </c>
      <c r="M828" t="s">
        <v>9110</v>
      </c>
    </row>
    <row r="829" spans="9:13" x14ac:dyDescent="0.25">
      <c r="I829" t="s">
        <v>10712</v>
      </c>
      <c r="J829" t="s">
        <v>2009</v>
      </c>
      <c r="K829" t="s">
        <v>9118</v>
      </c>
      <c r="L829" t="s">
        <v>10711</v>
      </c>
      <c r="M829" t="s">
        <v>9120</v>
      </c>
    </row>
    <row r="830" spans="9:13" x14ac:dyDescent="0.25">
      <c r="I830" t="s">
        <v>10713</v>
      </c>
      <c r="J830" t="s">
        <v>6517</v>
      </c>
      <c r="K830" t="s">
        <v>9386</v>
      </c>
      <c r="L830" t="s">
        <v>10714</v>
      </c>
      <c r="M830" t="s">
        <v>9388</v>
      </c>
    </row>
    <row r="831" spans="9:13" x14ac:dyDescent="0.25">
      <c r="I831" t="s">
        <v>10715</v>
      </c>
      <c r="J831" t="s">
        <v>2608</v>
      </c>
      <c r="K831" t="s">
        <v>9098</v>
      </c>
      <c r="L831" t="s">
        <v>10716</v>
      </c>
      <c r="M831" t="s">
        <v>9100</v>
      </c>
    </row>
    <row r="832" spans="9:13" x14ac:dyDescent="0.25">
      <c r="I832" t="s">
        <v>10717</v>
      </c>
      <c r="J832" t="s">
        <v>4466</v>
      </c>
      <c r="K832" t="s">
        <v>9213</v>
      </c>
      <c r="L832" t="s">
        <v>10718</v>
      </c>
      <c r="M832" t="s">
        <v>9215</v>
      </c>
    </row>
    <row r="833" spans="9:13" x14ac:dyDescent="0.25">
      <c r="I833" t="s">
        <v>10719</v>
      </c>
      <c r="J833" t="s">
        <v>861</v>
      </c>
      <c r="K833" t="s">
        <v>9231</v>
      </c>
      <c r="L833" t="s">
        <v>10720</v>
      </c>
      <c r="M833" t="s">
        <v>9233</v>
      </c>
    </row>
    <row r="834" spans="9:13" x14ac:dyDescent="0.25">
      <c r="I834" t="s">
        <v>10721</v>
      </c>
      <c r="J834" t="s">
        <v>6508</v>
      </c>
      <c r="K834" t="s">
        <v>10234</v>
      </c>
      <c r="L834" t="s">
        <v>10722</v>
      </c>
      <c r="M834" t="s">
        <v>10236</v>
      </c>
    </row>
    <row r="835" spans="9:13" x14ac:dyDescent="0.25">
      <c r="I835" t="s">
        <v>10723</v>
      </c>
      <c r="J835" t="s">
        <v>3767</v>
      </c>
      <c r="K835" t="s">
        <v>9182</v>
      </c>
      <c r="L835" t="s">
        <v>10724</v>
      </c>
      <c r="M835" t="s">
        <v>9184</v>
      </c>
    </row>
    <row r="836" spans="9:13" x14ac:dyDescent="0.25">
      <c r="I836" t="s">
        <v>10725</v>
      </c>
      <c r="J836" t="s">
        <v>4641</v>
      </c>
      <c r="K836" t="s">
        <v>10165</v>
      </c>
      <c r="L836" t="s">
        <v>10726</v>
      </c>
      <c r="M836" t="s">
        <v>10167</v>
      </c>
    </row>
    <row r="837" spans="9:13" x14ac:dyDescent="0.25">
      <c r="I837" t="s">
        <v>10727</v>
      </c>
      <c r="J837" t="s">
        <v>6532</v>
      </c>
      <c r="K837" t="s">
        <v>9537</v>
      </c>
      <c r="L837" t="s">
        <v>10728</v>
      </c>
      <c r="M837" t="s">
        <v>9539</v>
      </c>
    </row>
    <row r="838" spans="9:13" x14ac:dyDescent="0.25">
      <c r="I838" t="s">
        <v>10729</v>
      </c>
      <c r="J838" t="s">
        <v>2695</v>
      </c>
      <c r="K838" t="s">
        <v>9179</v>
      </c>
      <c r="L838" t="s">
        <v>10730</v>
      </c>
      <c r="M838" t="s">
        <v>9181</v>
      </c>
    </row>
    <row r="839" spans="9:13" x14ac:dyDescent="0.25">
      <c r="I839" t="s">
        <v>10731</v>
      </c>
      <c r="J839" t="s">
        <v>8364</v>
      </c>
      <c r="K839" t="s">
        <v>9155</v>
      </c>
      <c r="L839" t="s">
        <v>10732</v>
      </c>
      <c r="M839" t="s">
        <v>9157</v>
      </c>
    </row>
    <row r="840" spans="9:13" x14ac:dyDescent="0.25">
      <c r="I840" t="s">
        <v>10733</v>
      </c>
      <c r="J840" t="s">
        <v>1146</v>
      </c>
      <c r="K840" t="s">
        <v>9179</v>
      </c>
      <c r="L840" t="s">
        <v>10734</v>
      </c>
      <c r="M840" t="s">
        <v>9181</v>
      </c>
    </row>
    <row r="841" spans="9:13" x14ac:dyDescent="0.25">
      <c r="I841" t="s">
        <v>10735</v>
      </c>
      <c r="J841" t="s">
        <v>10736</v>
      </c>
      <c r="K841" t="s">
        <v>9102</v>
      </c>
      <c r="L841" t="s">
        <v>10737</v>
      </c>
      <c r="M841" t="s">
        <v>9104</v>
      </c>
    </row>
    <row r="842" spans="9:13" x14ac:dyDescent="0.25">
      <c r="I842" t="s">
        <v>10738</v>
      </c>
      <c r="J842" t="s">
        <v>1190</v>
      </c>
      <c r="K842" t="s">
        <v>9161</v>
      </c>
      <c r="L842" t="s">
        <v>10739</v>
      </c>
      <c r="M842" t="s">
        <v>9163</v>
      </c>
    </row>
    <row r="843" spans="9:13" x14ac:dyDescent="0.25">
      <c r="I843" t="s">
        <v>10740</v>
      </c>
      <c r="J843" t="s">
        <v>4907</v>
      </c>
      <c r="K843" t="s">
        <v>9182</v>
      </c>
      <c r="L843" t="s">
        <v>10741</v>
      </c>
      <c r="M843" t="s">
        <v>9184</v>
      </c>
    </row>
    <row r="844" spans="9:13" x14ac:dyDescent="0.25">
      <c r="I844" t="s">
        <v>10742</v>
      </c>
      <c r="J844" t="s">
        <v>5919</v>
      </c>
      <c r="K844" t="s">
        <v>9108</v>
      </c>
      <c r="L844" t="s">
        <v>10743</v>
      </c>
      <c r="M844" t="s">
        <v>9110</v>
      </c>
    </row>
    <row r="845" spans="9:13" x14ac:dyDescent="0.25">
      <c r="I845" t="s">
        <v>10744</v>
      </c>
      <c r="J845" t="s">
        <v>6418</v>
      </c>
      <c r="K845" t="s">
        <v>9155</v>
      </c>
      <c r="L845" t="s">
        <v>10745</v>
      </c>
      <c r="M845" t="s">
        <v>9157</v>
      </c>
    </row>
    <row r="846" spans="9:13" x14ac:dyDescent="0.25">
      <c r="I846" t="s">
        <v>10746</v>
      </c>
      <c r="J846" t="s">
        <v>7462</v>
      </c>
      <c r="K846" t="s">
        <v>9182</v>
      </c>
      <c r="L846" t="s">
        <v>9814</v>
      </c>
      <c r="M846" t="s">
        <v>9184</v>
      </c>
    </row>
    <row r="847" spans="9:13" x14ac:dyDescent="0.25">
      <c r="I847" t="s">
        <v>10747</v>
      </c>
      <c r="J847" t="s">
        <v>5263</v>
      </c>
      <c r="K847" t="s">
        <v>9213</v>
      </c>
      <c r="L847" t="s">
        <v>10748</v>
      </c>
      <c r="M847" t="s">
        <v>9215</v>
      </c>
    </row>
    <row r="848" spans="9:13" x14ac:dyDescent="0.25">
      <c r="I848" t="s">
        <v>10749</v>
      </c>
      <c r="J848" t="s">
        <v>6694</v>
      </c>
      <c r="K848" t="s">
        <v>9219</v>
      </c>
      <c r="L848" t="s">
        <v>10750</v>
      </c>
      <c r="M848" t="s">
        <v>9221</v>
      </c>
    </row>
    <row r="849" spans="9:13" x14ac:dyDescent="0.25">
      <c r="I849" t="s">
        <v>10751</v>
      </c>
      <c r="J849" t="s">
        <v>8792</v>
      </c>
      <c r="K849" t="s">
        <v>9288</v>
      </c>
      <c r="L849" t="s">
        <v>10752</v>
      </c>
      <c r="M849" t="s">
        <v>9290</v>
      </c>
    </row>
    <row r="850" spans="9:13" x14ac:dyDescent="0.25">
      <c r="I850" t="s">
        <v>10753</v>
      </c>
      <c r="J850" t="s">
        <v>4989</v>
      </c>
      <c r="K850" t="s">
        <v>9190</v>
      </c>
      <c r="L850" t="s">
        <v>10754</v>
      </c>
      <c r="M850" t="s">
        <v>9192</v>
      </c>
    </row>
    <row r="851" spans="9:13" x14ac:dyDescent="0.25">
      <c r="I851" t="s">
        <v>10755</v>
      </c>
      <c r="J851" t="s">
        <v>6264</v>
      </c>
      <c r="K851" t="s">
        <v>9537</v>
      </c>
      <c r="L851" t="s">
        <v>10756</v>
      </c>
      <c r="M851" t="s">
        <v>9539</v>
      </c>
    </row>
    <row r="852" spans="9:13" x14ac:dyDescent="0.25">
      <c r="I852" t="s">
        <v>10757</v>
      </c>
      <c r="J852" t="s">
        <v>5499</v>
      </c>
      <c r="K852" t="s">
        <v>9102</v>
      </c>
      <c r="L852" t="s">
        <v>10758</v>
      </c>
      <c r="M852" t="s">
        <v>9104</v>
      </c>
    </row>
    <row r="853" spans="9:13" x14ac:dyDescent="0.25">
      <c r="I853" t="s">
        <v>10759</v>
      </c>
      <c r="J853" t="s">
        <v>8700</v>
      </c>
      <c r="K853" t="s">
        <v>9288</v>
      </c>
      <c r="L853" t="s">
        <v>10760</v>
      </c>
      <c r="M853" t="s">
        <v>9290</v>
      </c>
    </row>
    <row r="854" spans="9:13" x14ac:dyDescent="0.25">
      <c r="I854" t="s">
        <v>10761</v>
      </c>
      <c r="J854" t="s">
        <v>4128</v>
      </c>
      <c r="K854" t="s">
        <v>9190</v>
      </c>
      <c r="L854" t="s">
        <v>10762</v>
      </c>
      <c r="M854" t="s">
        <v>9192</v>
      </c>
    </row>
    <row r="855" spans="9:13" x14ac:dyDescent="0.25">
      <c r="I855" t="s">
        <v>10763</v>
      </c>
      <c r="J855" t="s">
        <v>6716</v>
      </c>
      <c r="K855" t="s">
        <v>9155</v>
      </c>
      <c r="L855" t="s">
        <v>10764</v>
      </c>
      <c r="M855" t="s">
        <v>9157</v>
      </c>
    </row>
    <row r="856" spans="9:13" x14ac:dyDescent="0.25">
      <c r="I856" t="s">
        <v>10765</v>
      </c>
      <c r="J856" t="s">
        <v>4992</v>
      </c>
      <c r="K856" t="s">
        <v>9095</v>
      </c>
      <c r="L856" t="s">
        <v>10766</v>
      </c>
      <c r="M856" t="s">
        <v>9095</v>
      </c>
    </row>
    <row r="857" spans="9:13" x14ac:dyDescent="0.25">
      <c r="I857" t="s">
        <v>10767</v>
      </c>
      <c r="J857" t="s">
        <v>2378</v>
      </c>
      <c r="K857" t="s">
        <v>9331</v>
      </c>
      <c r="L857" t="s">
        <v>10768</v>
      </c>
      <c r="M857" t="s">
        <v>9333</v>
      </c>
    </row>
    <row r="858" spans="9:13" x14ac:dyDescent="0.25">
      <c r="I858" t="s">
        <v>10769</v>
      </c>
      <c r="J858" t="s">
        <v>663</v>
      </c>
      <c r="K858" t="s">
        <v>9161</v>
      </c>
      <c r="L858" t="s">
        <v>10770</v>
      </c>
      <c r="M858" t="s">
        <v>9163</v>
      </c>
    </row>
    <row r="859" spans="9:13" x14ac:dyDescent="0.25">
      <c r="I859" t="s">
        <v>10771</v>
      </c>
      <c r="J859" t="s">
        <v>4737</v>
      </c>
      <c r="K859" t="s">
        <v>9187</v>
      </c>
      <c r="L859" t="s">
        <v>10772</v>
      </c>
      <c r="M859" t="s">
        <v>9189</v>
      </c>
    </row>
    <row r="860" spans="9:13" x14ac:dyDescent="0.25">
      <c r="I860" t="s">
        <v>10773</v>
      </c>
      <c r="J860" t="s">
        <v>1810</v>
      </c>
      <c r="K860" t="s">
        <v>9223</v>
      </c>
      <c r="L860" t="s">
        <v>10774</v>
      </c>
      <c r="M860" t="s">
        <v>9225</v>
      </c>
    </row>
    <row r="861" spans="9:13" x14ac:dyDescent="0.25">
      <c r="I861" t="s">
        <v>10775</v>
      </c>
      <c r="J861" t="s">
        <v>5892</v>
      </c>
      <c r="K861" t="s">
        <v>9179</v>
      </c>
      <c r="L861" t="s">
        <v>10776</v>
      </c>
      <c r="M861" t="s">
        <v>9181</v>
      </c>
    </row>
    <row r="862" spans="9:13" x14ac:dyDescent="0.25">
      <c r="I862" t="s">
        <v>10777</v>
      </c>
      <c r="J862" t="s">
        <v>5793</v>
      </c>
      <c r="K862" t="s">
        <v>9331</v>
      </c>
      <c r="L862" t="s">
        <v>10778</v>
      </c>
      <c r="M862" t="s">
        <v>9333</v>
      </c>
    </row>
    <row r="863" spans="9:13" x14ac:dyDescent="0.25">
      <c r="I863" t="s">
        <v>10779</v>
      </c>
      <c r="J863" t="s">
        <v>2244</v>
      </c>
      <c r="K863" t="s">
        <v>9231</v>
      </c>
      <c r="L863" t="s">
        <v>10780</v>
      </c>
      <c r="M863" t="s">
        <v>9233</v>
      </c>
    </row>
    <row r="864" spans="9:13" x14ac:dyDescent="0.25">
      <c r="I864" t="s">
        <v>10781</v>
      </c>
      <c r="J864" t="s">
        <v>675</v>
      </c>
      <c r="K864" t="s">
        <v>9231</v>
      </c>
      <c r="L864" t="s">
        <v>10782</v>
      </c>
      <c r="M864" t="s">
        <v>9233</v>
      </c>
    </row>
    <row r="865" spans="9:13" x14ac:dyDescent="0.25">
      <c r="I865" t="s">
        <v>10783</v>
      </c>
      <c r="J865" t="s">
        <v>5382</v>
      </c>
      <c r="K865" t="s">
        <v>9174</v>
      </c>
      <c r="L865" t="s">
        <v>10784</v>
      </c>
      <c r="M865" t="s">
        <v>9176</v>
      </c>
    </row>
    <row r="866" spans="9:13" x14ac:dyDescent="0.25">
      <c r="I866" t="s">
        <v>10785</v>
      </c>
      <c r="J866" t="s">
        <v>6387</v>
      </c>
      <c r="K866" t="s">
        <v>9187</v>
      </c>
      <c r="L866" t="s">
        <v>10786</v>
      </c>
      <c r="M866" t="s">
        <v>9189</v>
      </c>
    </row>
    <row r="867" spans="9:13" x14ac:dyDescent="0.25">
      <c r="I867" t="s">
        <v>10787</v>
      </c>
      <c r="J867" t="s">
        <v>5728</v>
      </c>
      <c r="K867" t="s">
        <v>9161</v>
      </c>
      <c r="L867" t="s">
        <v>10788</v>
      </c>
      <c r="M867" t="s">
        <v>9163</v>
      </c>
    </row>
    <row r="868" spans="9:13" x14ac:dyDescent="0.25">
      <c r="I868" t="s">
        <v>10789</v>
      </c>
      <c r="J868" t="s">
        <v>1641</v>
      </c>
      <c r="K868" t="s">
        <v>9386</v>
      </c>
      <c r="L868" t="s">
        <v>10790</v>
      </c>
      <c r="M868" t="s">
        <v>9388</v>
      </c>
    </row>
    <row r="869" spans="9:13" x14ac:dyDescent="0.25">
      <c r="I869" t="s">
        <v>10791</v>
      </c>
      <c r="J869" t="s">
        <v>6135</v>
      </c>
      <c r="K869" t="s">
        <v>9288</v>
      </c>
      <c r="L869" t="s">
        <v>10792</v>
      </c>
      <c r="M869" t="s">
        <v>9290</v>
      </c>
    </row>
    <row r="870" spans="9:13" x14ac:dyDescent="0.25">
      <c r="I870" t="s">
        <v>10793</v>
      </c>
      <c r="J870" t="s">
        <v>3132</v>
      </c>
      <c r="K870" t="s">
        <v>9284</v>
      </c>
      <c r="L870" t="s">
        <v>9271</v>
      </c>
      <c r="M870" t="s">
        <v>9286</v>
      </c>
    </row>
    <row r="871" spans="9:13" x14ac:dyDescent="0.25">
      <c r="I871" t="s">
        <v>10794</v>
      </c>
      <c r="J871" t="s">
        <v>1765</v>
      </c>
      <c r="K871" t="s">
        <v>9098</v>
      </c>
      <c r="L871" t="s">
        <v>10795</v>
      </c>
      <c r="M871" t="s">
        <v>9100</v>
      </c>
    </row>
    <row r="872" spans="9:13" x14ac:dyDescent="0.25">
      <c r="I872" t="s">
        <v>10796</v>
      </c>
      <c r="J872" t="s">
        <v>293</v>
      </c>
      <c r="K872" t="s">
        <v>9284</v>
      </c>
      <c r="L872" t="s">
        <v>10795</v>
      </c>
      <c r="M872" t="s">
        <v>9286</v>
      </c>
    </row>
    <row r="873" spans="9:13" x14ac:dyDescent="0.25">
      <c r="I873" t="s">
        <v>10797</v>
      </c>
      <c r="J873" t="s">
        <v>6101</v>
      </c>
      <c r="K873" t="s">
        <v>9284</v>
      </c>
      <c r="L873" t="s">
        <v>10795</v>
      </c>
      <c r="M873" t="s">
        <v>9286</v>
      </c>
    </row>
    <row r="874" spans="9:13" x14ac:dyDescent="0.25">
      <c r="I874" t="s">
        <v>10798</v>
      </c>
      <c r="J874" t="s">
        <v>5736</v>
      </c>
      <c r="K874" t="s">
        <v>9624</v>
      </c>
      <c r="L874" t="s">
        <v>10799</v>
      </c>
      <c r="M874" t="s">
        <v>9626</v>
      </c>
    </row>
    <row r="875" spans="9:13" x14ac:dyDescent="0.25">
      <c r="I875" t="s">
        <v>10800</v>
      </c>
      <c r="J875" t="s">
        <v>3612</v>
      </c>
      <c r="K875" t="s">
        <v>9174</v>
      </c>
      <c r="L875" t="s">
        <v>10801</v>
      </c>
      <c r="M875" t="s">
        <v>9176</v>
      </c>
    </row>
    <row r="876" spans="9:13" x14ac:dyDescent="0.25">
      <c r="I876" t="s">
        <v>10802</v>
      </c>
      <c r="J876" t="s">
        <v>4198</v>
      </c>
      <c r="K876" t="s">
        <v>9182</v>
      </c>
      <c r="L876" t="s">
        <v>10803</v>
      </c>
      <c r="M876" t="s">
        <v>9184</v>
      </c>
    </row>
    <row r="877" spans="9:13" x14ac:dyDescent="0.25">
      <c r="I877" t="s">
        <v>10804</v>
      </c>
      <c r="J877" t="s">
        <v>2024</v>
      </c>
      <c r="K877" t="s">
        <v>9127</v>
      </c>
      <c r="L877" t="s">
        <v>10805</v>
      </c>
      <c r="M877" t="s">
        <v>9129</v>
      </c>
    </row>
    <row r="878" spans="9:13" x14ac:dyDescent="0.25">
      <c r="I878" t="s">
        <v>10806</v>
      </c>
      <c r="J878" t="s">
        <v>6238</v>
      </c>
      <c r="K878" t="s">
        <v>9546</v>
      </c>
      <c r="L878" t="s">
        <v>10807</v>
      </c>
      <c r="M878" t="s">
        <v>10416</v>
      </c>
    </row>
    <row r="879" spans="9:13" x14ac:dyDescent="0.25">
      <c r="I879" t="s">
        <v>10808</v>
      </c>
      <c r="J879" t="s">
        <v>5420</v>
      </c>
      <c r="K879" t="s">
        <v>9219</v>
      </c>
      <c r="L879" t="s">
        <v>10809</v>
      </c>
      <c r="M879" t="s">
        <v>9221</v>
      </c>
    </row>
    <row r="880" spans="9:13" x14ac:dyDescent="0.25">
      <c r="I880" t="s">
        <v>10810</v>
      </c>
      <c r="J880" t="s">
        <v>7183</v>
      </c>
      <c r="K880" t="s">
        <v>9098</v>
      </c>
      <c r="L880" t="s">
        <v>10809</v>
      </c>
      <c r="M880" t="s">
        <v>9100</v>
      </c>
    </row>
    <row r="881" spans="9:13" x14ac:dyDescent="0.25">
      <c r="I881" t="s">
        <v>10811</v>
      </c>
      <c r="J881" t="s">
        <v>6190</v>
      </c>
      <c r="K881" t="s">
        <v>9624</v>
      </c>
      <c r="L881" t="s">
        <v>10809</v>
      </c>
      <c r="M881" t="s">
        <v>9626</v>
      </c>
    </row>
    <row r="882" spans="9:13" x14ac:dyDescent="0.25">
      <c r="I882" t="s">
        <v>10812</v>
      </c>
      <c r="J882" t="s">
        <v>5442</v>
      </c>
      <c r="K882" t="s">
        <v>9108</v>
      </c>
      <c r="L882" t="s">
        <v>10813</v>
      </c>
      <c r="M882" t="s">
        <v>9110</v>
      </c>
    </row>
    <row r="883" spans="9:13" x14ac:dyDescent="0.25">
      <c r="I883" t="s">
        <v>10814</v>
      </c>
      <c r="J883" t="s">
        <v>5016</v>
      </c>
      <c r="K883" t="s">
        <v>9187</v>
      </c>
      <c r="L883" t="s">
        <v>10815</v>
      </c>
      <c r="M883" t="s">
        <v>9189</v>
      </c>
    </row>
    <row r="884" spans="9:13" x14ac:dyDescent="0.25">
      <c r="I884" t="s">
        <v>10816</v>
      </c>
      <c r="J884" t="s">
        <v>2698</v>
      </c>
      <c r="K884" t="s">
        <v>9467</v>
      </c>
      <c r="L884" t="s">
        <v>10817</v>
      </c>
      <c r="M884" t="s">
        <v>9469</v>
      </c>
    </row>
    <row r="885" spans="9:13" x14ac:dyDescent="0.25">
      <c r="I885" t="s">
        <v>10818</v>
      </c>
      <c r="J885" t="s">
        <v>5058</v>
      </c>
      <c r="K885" t="s">
        <v>9174</v>
      </c>
      <c r="L885" t="s">
        <v>10819</v>
      </c>
      <c r="M885" t="s">
        <v>9176</v>
      </c>
    </row>
    <row r="886" spans="9:13" x14ac:dyDescent="0.25">
      <c r="I886" t="s">
        <v>10820</v>
      </c>
      <c r="J886" t="s">
        <v>6955</v>
      </c>
      <c r="K886" t="s">
        <v>9098</v>
      </c>
      <c r="L886" t="s">
        <v>10821</v>
      </c>
      <c r="M886" t="s">
        <v>9100</v>
      </c>
    </row>
    <row r="887" spans="9:13" x14ac:dyDescent="0.25">
      <c r="I887" t="s">
        <v>10822</v>
      </c>
      <c r="J887" t="s">
        <v>10823</v>
      </c>
      <c r="K887" t="s">
        <v>10585</v>
      </c>
      <c r="L887" t="s">
        <v>10824</v>
      </c>
      <c r="M887" t="s">
        <v>10587</v>
      </c>
    </row>
    <row r="888" spans="9:13" x14ac:dyDescent="0.25">
      <c r="I888" t="s">
        <v>10825</v>
      </c>
      <c r="J888" t="s">
        <v>3305</v>
      </c>
      <c r="K888" t="s">
        <v>9288</v>
      </c>
      <c r="L888" t="s">
        <v>10826</v>
      </c>
      <c r="M888" t="s">
        <v>9290</v>
      </c>
    </row>
    <row r="889" spans="9:13" x14ac:dyDescent="0.25">
      <c r="I889" t="s">
        <v>10827</v>
      </c>
      <c r="J889" t="s">
        <v>5170</v>
      </c>
      <c r="K889" t="s">
        <v>9280</v>
      </c>
      <c r="L889" t="s">
        <v>10828</v>
      </c>
      <c r="M889" t="s">
        <v>9282</v>
      </c>
    </row>
    <row r="890" spans="9:13" x14ac:dyDescent="0.25">
      <c r="I890" t="s">
        <v>10829</v>
      </c>
      <c r="J890" t="s">
        <v>3423</v>
      </c>
      <c r="K890" t="s">
        <v>9550</v>
      </c>
      <c r="L890" t="s">
        <v>10830</v>
      </c>
      <c r="M890" t="s">
        <v>9552</v>
      </c>
    </row>
    <row r="891" spans="9:13" x14ac:dyDescent="0.25">
      <c r="I891" t="s">
        <v>10831</v>
      </c>
      <c r="J891" t="s">
        <v>8826</v>
      </c>
      <c r="K891" t="s">
        <v>9284</v>
      </c>
      <c r="L891" t="s">
        <v>10832</v>
      </c>
      <c r="M891" t="s">
        <v>9286</v>
      </c>
    </row>
    <row r="892" spans="9:13" x14ac:dyDescent="0.25">
      <c r="I892" t="s">
        <v>10833</v>
      </c>
      <c r="J892" t="s">
        <v>4676</v>
      </c>
      <c r="K892" t="s">
        <v>9161</v>
      </c>
      <c r="L892" t="s">
        <v>10834</v>
      </c>
      <c r="M892" t="s">
        <v>9163</v>
      </c>
    </row>
    <row r="893" spans="9:13" x14ac:dyDescent="0.25">
      <c r="I893" t="s">
        <v>10835</v>
      </c>
      <c r="J893" t="s">
        <v>7279</v>
      </c>
      <c r="K893" t="s">
        <v>9280</v>
      </c>
      <c r="L893" t="s">
        <v>10836</v>
      </c>
      <c r="M893" t="s">
        <v>9282</v>
      </c>
    </row>
    <row r="894" spans="9:13" x14ac:dyDescent="0.25">
      <c r="I894" t="s">
        <v>10837</v>
      </c>
      <c r="J894" t="s">
        <v>4558</v>
      </c>
      <c r="K894" t="s">
        <v>9174</v>
      </c>
      <c r="L894" t="s">
        <v>10838</v>
      </c>
      <c r="M894" t="s">
        <v>9176</v>
      </c>
    </row>
    <row r="895" spans="9:13" x14ac:dyDescent="0.25">
      <c r="I895" t="s">
        <v>10839</v>
      </c>
      <c r="J895" t="s">
        <v>3332</v>
      </c>
      <c r="K895" t="s">
        <v>9700</v>
      </c>
      <c r="L895" t="s">
        <v>10840</v>
      </c>
      <c r="M895" t="s">
        <v>9702</v>
      </c>
    </row>
    <row r="896" spans="9:13" x14ac:dyDescent="0.25">
      <c r="I896" t="s">
        <v>10841</v>
      </c>
      <c r="J896" t="s">
        <v>3140</v>
      </c>
      <c r="K896" t="s">
        <v>9123</v>
      </c>
      <c r="L896" t="s">
        <v>10842</v>
      </c>
      <c r="M896" t="s">
        <v>9125</v>
      </c>
    </row>
    <row r="897" spans="9:13" x14ac:dyDescent="0.25">
      <c r="I897" t="s">
        <v>10843</v>
      </c>
      <c r="J897" t="s">
        <v>3709</v>
      </c>
      <c r="K897" t="s">
        <v>9213</v>
      </c>
      <c r="L897" t="s">
        <v>10844</v>
      </c>
      <c r="M897" t="s">
        <v>9215</v>
      </c>
    </row>
    <row r="898" spans="9:13" x14ac:dyDescent="0.25">
      <c r="I898" t="s">
        <v>10845</v>
      </c>
      <c r="J898" t="s">
        <v>3406</v>
      </c>
      <c r="K898" t="s">
        <v>9182</v>
      </c>
      <c r="L898" t="s">
        <v>9891</v>
      </c>
      <c r="M898" t="s">
        <v>9184</v>
      </c>
    </row>
    <row r="899" spans="9:13" x14ac:dyDescent="0.25">
      <c r="I899" t="s">
        <v>10846</v>
      </c>
      <c r="J899" t="s">
        <v>1335</v>
      </c>
      <c r="K899" t="s">
        <v>9089</v>
      </c>
      <c r="L899" t="s">
        <v>10847</v>
      </c>
      <c r="M899" t="s">
        <v>9091</v>
      </c>
    </row>
    <row r="900" spans="9:13" x14ac:dyDescent="0.25">
      <c r="I900" t="s">
        <v>10848</v>
      </c>
      <c r="J900" t="s">
        <v>3436</v>
      </c>
      <c r="K900" t="s">
        <v>9102</v>
      </c>
      <c r="L900" t="s">
        <v>10849</v>
      </c>
      <c r="M900" t="s">
        <v>9104</v>
      </c>
    </row>
    <row r="901" spans="9:13" x14ac:dyDescent="0.25">
      <c r="I901" t="s">
        <v>10850</v>
      </c>
      <c r="J901" t="s">
        <v>4365</v>
      </c>
      <c r="K901" t="s">
        <v>9174</v>
      </c>
      <c r="L901" t="s">
        <v>10851</v>
      </c>
      <c r="M901" t="s">
        <v>9176</v>
      </c>
    </row>
    <row r="902" spans="9:13" x14ac:dyDescent="0.25">
      <c r="I902" t="s">
        <v>10852</v>
      </c>
      <c r="J902" t="s">
        <v>7505</v>
      </c>
      <c r="K902" t="s">
        <v>9223</v>
      </c>
      <c r="L902" t="s">
        <v>10853</v>
      </c>
      <c r="M902" t="s">
        <v>9225</v>
      </c>
    </row>
    <row r="903" spans="9:13" x14ac:dyDescent="0.25">
      <c r="I903" t="s">
        <v>10854</v>
      </c>
      <c r="J903" t="s">
        <v>10855</v>
      </c>
      <c r="K903" t="s">
        <v>9781</v>
      </c>
      <c r="L903" t="s">
        <v>10856</v>
      </c>
      <c r="M903" t="s">
        <v>9783</v>
      </c>
    </row>
    <row r="904" spans="9:13" x14ac:dyDescent="0.25">
      <c r="I904" t="s">
        <v>10857</v>
      </c>
      <c r="J904" t="s">
        <v>4751</v>
      </c>
      <c r="K904" t="s">
        <v>9174</v>
      </c>
      <c r="L904" t="s">
        <v>10858</v>
      </c>
      <c r="M904" t="s">
        <v>9176</v>
      </c>
    </row>
    <row r="905" spans="9:13" x14ac:dyDescent="0.25">
      <c r="I905" t="s">
        <v>10859</v>
      </c>
      <c r="J905" t="s">
        <v>10860</v>
      </c>
      <c r="K905" t="s">
        <v>9174</v>
      </c>
      <c r="L905" t="s">
        <v>10861</v>
      </c>
      <c r="M905" t="s">
        <v>9176</v>
      </c>
    </row>
    <row r="906" spans="9:13" x14ac:dyDescent="0.25">
      <c r="I906" t="s">
        <v>10862</v>
      </c>
      <c r="J906" t="s">
        <v>5285</v>
      </c>
      <c r="K906" t="s">
        <v>9223</v>
      </c>
      <c r="L906" t="s">
        <v>10863</v>
      </c>
      <c r="M906" t="s">
        <v>9225</v>
      </c>
    </row>
    <row r="907" spans="9:13" x14ac:dyDescent="0.25">
      <c r="I907" t="s">
        <v>10864</v>
      </c>
      <c r="J907" t="s">
        <v>3502</v>
      </c>
      <c r="K907" t="s">
        <v>9280</v>
      </c>
      <c r="L907" t="s">
        <v>10865</v>
      </c>
      <c r="M907" t="s">
        <v>9282</v>
      </c>
    </row>
    <row r="908" spans="9:13" x14ac:dyDescent="0.25">
      <c r="I908" t="s">
        <v>10866</v>
      </c>
      <c r="J908" t="s">
        <v>2580</v>
      </c>
      <c r="K908" t="s">
        <v>9231</v>
      </c>
      <c r="L908" t="s">
        <v>10867</v>
      </c>
      <c r="M908" t="s">
        <v>9233</v>
      </c>
    </row>
    <row r="909" spans="9:13" x14ac:dyDescent="0.25">
      <c r="I909" t="s">
        <v>10868</v>
      </c>
      <c r="J909" t="s">
        <v>2503</v>
      </c>
      <c r="K909" t="s">
        <v>9174</v>
      </c>
      <c r="L909" t="s">
        <v>10869</v>
      </c>
      <c r="M909" t="s">
        <v>9176</v>
      </c>
    </row>
    <row r="910" spans="9:13" x14ac:dyDescent="0.25">
      <c r="I910" t="s">
        <v>10870</v>
      </c>
      <c r="J910" t="s">
        <v>8796</v>
      </c>
      <c r="K910" t="s">
        <v>9161</v>
      </c>
      <c r="L910" t="s">
        <v>10871</v>
      </c>
      <c r="M910" t="s">
        <v>9163</v>
      </c>
    </row>
    <row r="911" spans="9:13" x14ac:dyDescent="0.25">
      <c r="I911" t="s">
        <v>10872</v>
      </c>
      <c r="J911" t="s">
        <v>4985</v>
      </c>
      <c r="K911" t="s">
        <v>9284</v>
      </c>
      <c r="L911" t="s">
        <v>10873</v>
      </c>
      <c r="M911" t="s">
        <v>9286</v>
      </c>
    </row>
    <row r="912" spans="9:13" x14ac:dyDescent="0.25">
      <c r="I912" t="s">
        <v>10874</v>
      </c>
      <c r="J912" t="s">
        <v>164</v>
      </c>
      <c r="K912" t="s">
        <v>9231</v>
      </c>
      <c r="L912" t="s">
        <v>10875</v>
      </c>
      <c r="M912" t="s">
        <v>9233</v>
      </c>
    </row>
    <row r="913" spans="9:13" x14ac:dyDescent="0.25">
      <c r="I913" t="s">
        <v>10876</v>
      </c>
      <c r="J913" t="s">
        <v>6832</v>
      </c>
      <c r="K913" t="s">
        <v>9084</v>
      </c>
      <c r="L913" t="s">
        <v>10877</v>
      </c>
      <c r="M913" t="s">
        <v>9086</v>
      </c>
    </row>
    <row r="914" spans="9:13" x14ac:dyDescent="0.25">
      <c r="I914" t="s">
        <v>10878</v>
      </c>
      <c r="J914" t="s">
        <v>4633</v>
      </c>
      <c r="K914" t="s">
        <v>9187</v>
      </c>
      <c r="L914" t="s">
        <v>10879</v>
      </c>
      <c r="M914" t="s">
        <v>9189</v>
      </c>
    </row>
    <row r="915" spans="9:13" x14ac:dyDescent="0.25">
      <c r="I915" t="s">
        <v>10880</v>
      </c>
      <c r="J915" t="s">
        <v>6244</v>
      </c>
      <c r="K915" t="s">
        <v>9174</v>
      </c>
      <c r="L915" t="s">
        <v>10881</v>
      </c>
      <c r="M915" t="s">
        <v>9176</v>
      </c>
    </row>
    <row r="916" spans="9:13" x14ac:dyDescent="0.25">
      <c r="I916" t="s">
        <v>10882</v>
      </c>
      <c r="J916" t="s">
        <v>3602</v>
      </c>
      <c r="K916" t="s">
        <v>9187</v>
      </c>
      <c r="L916" t="s">
        <v>10883</v>
      </c>
      <c r="M916" t="s">
        <v>9189</v>
      </c>
    </row>
    <row r="917" spans="9:13" x14ac:dyDescent="0.25">
      <c r="I917" t="s">
        <v>10884</v>
      </c>
      <c r="J917" t="s">
        <v>1470</v>
      </c>
      <c r="K917" t="s">
        <v>9136</v>
      </c>
      <c r="L917" t="s">
        <v>10885</v>
      </c>
      <c r="M917" t="s">
        <v>9138</v>
      </c>
    </row>
    <row r="918" spans="9:13" x14ac:dyDescent="0.25">
      <c r="I918" t="s">
        <v>10886</v>
      </c>
      <c r="J918" t="s">
        <v>10887</v>
      </c>
      <c r="K918" t="s">
        <v>9331</v>
      </c>
      <c r="L918" t="s">
        <v>10888</v>
      </c>
      <c r="M918" t="s">
        <v>9333</v>
      </c>
    </row>
    <row r="919" spans="9:13" x14ac:dyDescent="0.25">
      <c r="I919" t="s">
        <v>10889</v>
      </c>
      <c r="J919" t="s">
        <v>2274</v>
      </c>
      <c r="K919" t="s">
        <v>9231</v>
      </c>
      <c r="L919" t="s">
        <v>10890</v>
      </c>
      <c r="M919" t="s">
        <v>9233</v>
      </c>
    </row>
    <row r="920" spans="9:13" x14ac:dyDescent="0.25">
      <c r="I920" t="s">
        <v>10891</v>
      </c>
      <c r="J920" t="s">
        <v>5486</v>
      </c>
      <c r="K920" t="s">
        <v>10165</v>
      </c>
      <c r="L920" t="s">
        <v>10892</v>
      </c>
      <c r="M920" t="s">
        <v>10167</v>
      </c>
    </row>
    <row r="921" spans="9:13" x14ac:dyDescent="0.25">
      <c r="I921" t="s">
        <v>10893</v>
      </c>
      <c r="J921" t="s">
        <v>742</v>
      </c>
      <c r="K921" t="s">
        <v>9284</v>
      </c>
      <c r="L921" t="s">
        <v>10894</v>
      </c>
      <c r="M921" t="s">
        <v>9286</v>
      </c>
    </row>
    <row r="922" spans="9:13" x14ac:dyDescent="0.25">
      <c r="I922" t="s">
        <v>10895</v>
      </c>
      <c r="J922" t="s">
        <v>2100</v>
      </c>
      <c r="K922" t="s">
        <v>9284</v>
      </c>
      <c r="L922" t="s">
        <v>10896</v>
      </c>
      <c r="M922" t="s">
        <v>9286</v>
      </c>
    </row>
    <row r="923" spans="9:13" x14ac:dyDescent="0.25">
      <c r="I923" t="s">
        <v>10897</v>
      </c>
      <c r="J923" t="s">
        <v>1646</v>
      </c>
      <c r="K923" t="s">
        <v>9174</v>
      </c>
      <c r="L923" t="s">
        <v>10898</v>
      </c>
      <c r="M923" t="s">
        <v>9176</v>
      </c>
    </row>
    <row r="924" spans="9:13" x14ac:dyDescent="0.25">
      <c r="I924" t="s">
        <v>10899</v>
      </c>
      <c r="J924" t="s">
        <v>8424</v>
      </c>
      <c r="K924" t="s">
        <v>9223</v>
      </c>
      <c r="L924" t="s">
        <v>9096</v>
      </c>
      <c r="M924" t="s">
        <v>9225</v>
      </c>
    </row>
    <row r="925" spans="9:13" x14ac:dyDescent="0.25">
      <c r="I925" t="s">
        <v>10900</v>
      </c>
      <c r="J925" t="s">
        <v>5423</v>
      </c>
      <c r="K925" t="s">
        <v>9219</v>
      </c>
      <c r="L925" t="s">
        <v>10901</v>
      </c>
      <c r="M925" t="s">
        <v>9221</v>
      </c>
    </row>
    <row r="926" spans="9:13" x14ac:dyDescent="0.25">
      <c r="I926" t="s">
        <v>10902</v>
      </c>
      <c r="J926" t="s">
        <v>8572</v>
      </c>
      <c r="K926" t="s">
        <v>9223</v>
      </c>
      <c r="L926" t="s">
        <v>10903</v>
      </c>
      <c r="M926" t="s">
        <v>9225</v>
      </c>
    </row>
    <row r="927" spans="9:13" x14ac:dyDescent="0.25">
      <c r="I927" t="s">
        <v>10904</v>
      </c>
      <c r="J927" t="s">
        <v>4327</v>
      </c>
      <c r="K927" t="s">
        <v>9304</v>
      </c>
      <c r="L927" t="s">
        <v>10905</v>
      </c>
      <c r="M927" t="s">
        <v>9306</v>
      </c>
    </row>
    <row r="928" spans="9:13" x14ac:dyDescent="0.25">
      <c r="I928" t="s">
        <v>10906</v>
      </c>
      <c r="J928" t="s">
        <v>3942</v>
      </c>
      <c r="K928" t="s">
        <v>9182</v>
      </c>
      <c r="L928" t="s">
        <v>10907</v>
      </c>
      <c r="M928" t="s">
        <v>9184</v>
      </c>
    </row>
    <row r="929" spans="9:13" x14ac:dyDescent="0.25">
      <c r="I929" t="s">
        <v>10908</v>
      </c>
      <c r="J929" t="s">
        <v>8496</v>
      </c>
      <c r="K929" t="s">
        <v>9386</v>
      </c>
      <c r="L929" t="s">
        <v>10909</v>
      </c>
      <c r="M929" t="s">
        <v>9388</v>
      </c>
    </row>
    <row r="930" spans="9:13" x14ac:dyDescent="0.25">
      <c r="I930" t="s">
        <v>10910</v>
      </c>
      <c r="J930" t="s">
        <v>3626</v>
      </c>
      <c r="K930" t="s">
        <v>9174</v>
      </c>
      <c r="L930" t="s">
        <v>10911</v>
      </c>
      <c r="M930" t="s">
        <v>9176</v>
      </c>
    </row>
    <row r="931" spans="9:13" x14ac:dyDescent="0.25">
      <c r="I931" t="s">
        <v>10912</v>
      </c>
      <c r="J931" t="s">
        <v>1795</v>
      </c>
      <c r="K931" t="s">
        <v>9781</v>
      </c>
      <c r="L931" t="s">
        <v>10913</v>
      </c>
      <c r="M931" t="s">
        <v>9783</v>
      </c>
    </row>
    <row r="932" spans="9:13" x14ac:dyDescent="0.25">
      <c r="I932" t="s">
        <v>10914</v>
      </c>
      <c r="J932" t="s">
        <v>10915</v>
      </c>
      <c r="K932" t="s">
        <v>9219</v>
      </c>
      <c r="L932" t="s">
        <v>10916</v>
      </c>
      <c r="M932" t="s">
        <v>9221</v>
      </c>
    </row>
    <row r="933" spans="9:13" x14ac:dyDescent="0.25">
      <c r="I933" t="s">
        <v>10917</v>
      </c>
      <c r="J933" t="s">
        <v>6335</v>
      </c>
      <c r="K933" t="s">
        <v>9174</v>
      </c>
      <c r="L933" t="s">
        <v>10918</v>
      </c>
      <c r="M933" t="s">
        <v>9176</v>
      </c>
    </row>
    <row r="934" spans="9:13" x14ac:dyDescent="0.25">
      <c r="I934" t="s">
        <v>10919</v>
      </c>
      <c r="J934" t="s">
        <v>8352</v>
      </c>
      <c r="K934" t="s">
        <v>9182</v>
      </c>
      <c r="L934" t="s">
        <v>10920</v>
      </c>
      <c r="M934" t="s">
        <v>9184</v>
      </c>
    </row>
    <row r="935" spans="9:13" x14ac:dyDescent="0.25">
      <c r="I935" t="s">
        <v>10921</v>
      </c>
      <c r="J935" t="s">
        <v>5407</v>
      </c>
      <c r="K935" t="s">
        <v>9161</v>
      </c>
      <c r="L935" t="s">
        <v>10922</v>
      </c>
      <c r="M935" t="s">
        <v>9163</v>
      </c>
    </row>
    <row r="936" spans="9:13" x14ac:dyDescent="0.25">
      <c r="I936" t="s">
        <v>10923</v>
      </c>
      <c r="J936" t="s">
        <v>4173</v>
      </c>
      <c r="K936" t="s">
        <v>9182</v>
      </c>
      <c r="L936" t="s">
        <v>10924</v>
      </c>
      <c r="M936" t="s">
        <v>9184</v>
      </c>
    </row>
    <row r="937" spans="9:13" x14ac:dyDescent="0.25">
      <c r="I937" t="s">
        <v>10925</v>
      </c>
      <c r="J937" t="s">
        <v>5405</v>
      </c>
      <c r="K937" t="s">
        <v>9161</v>
      </c>
      <c r="L937" t="s">
        <v>10926</v>
      </c>
      <c r="M937" t="s">
        <v>9163</v>
      </c>
    </row>
    <row r="938" spans="9:13" x14ac:dyDescent="0.25">
      <c r="I938" t="s">
        <v>10927</v>
      </c>
      <c r="J938" t="s">
        <v>3853</v>
      </c>
      <c r="K938" t="s">
        <v>9098</v>
      </c>
      <c r="L938" t="s">
        <v>10928</v>
      </c>
      <c r="M938" t="s">
        <v>9100</v>
      </c>
    </row>
    <row r="939" spans="9:13" x14ac:dyDescent="0.25">
      <c r="I939" t="s">
        <v>10929</v>
      </c>
      <c r="J939" t="s">
        <v>10930</v>
      </c>
      <c r="K939" t="s">
        <v>9182</v>
      </c>
      <c r="L939" t="s">
        <v>10931</v>
      </c>
      <c r="M939" t="s">
        <v>9184</v>
      </c>
    </row>
    <row r="940" spans="9:13" x14ac:dyDescent="0.25">
      <c r="I940" t="s">
        <v>10932</v>
      </c>
      <c r="J940" t="s">
        <v>2874</v>
      </c>
      <c r="K940" t="s">
        <v>9213</v>
      </c>
      <c r="L940" t="s">
        <v>10933</v>
      </c>
      <c r="M940" t="s">
        <v>9215</v>
      </c>
    </row>
    <row r="941" spans="9:13" x14ac:dyDescent="0.25">
      <c r="I941" t="s">
        <v>10934</v>
      </c>
      <c r="J941" t="s">
        <v>6205</v>
      </c>
      <c r="K941" t="s">
        <v>9190</v>
      </c>
      <c r="L941" t="s">
        <v>10935</v>
      </c>
      <c r="M941" t="s">
        <v>9192</v>
      </c>
    </row>
    <row r="942" spans="9:13" x14ac:dyDescent="0.25">
      <c r="I942" t="s">
        <v>10936</v>
      </c>
      <c r="J942" t="s">
        <v>2394</v>
      </c>
      <c r="K942" t="s">
        <v>9231</v>
      </c>
      <c r="L942" t="s">
        <v>10937</v>
      </c>
      <c r="M942" t="s">
        <v>9233</v>
      </c>
    </row>
    <row r="943" spans="9:13" x14ac:dyDescent="0.25">
      <c r="I943" t="s">
        <v>10938</v>
      </c>
      <c r="J943" t="s">
        <v>10939</v>
      </c>
      <c r="K943" t="s">
        <v>9136</v>
      </c>
      <c r="L943" t="s">
        <v>10940</v>
      </c>
      <c r="M943" t="s">
        <v>9138</v>
      </c>
    </row>
    <row r="944" spans="9:13" x14ac:dyDescent="0.25">
      <c r="I944" t="s">
        <v>10941</v>
      </c>
      <c r="J944" t="s">
        <v>10942</v>
      </c>
      <c r="K944" t="s">
        <v>9267</v>
      </c>
      <c r="L944" t="s">
        <v>10943</v>
      </c>
      <c r="M944" t="s">
        <v>9269</v>
      </c>
    </row>
    <row r="945" spans="9:13" x14ac:dyDescent="0.25">
      <c r="I945" t="s">
        <v>10944</v>
      </c>
      <c r="J945" t="s">
        <v>1340</v>
      </c>
      <c r="K945" t="s">
        <v>9267</v>
      </c>
      <c r="L945" t="s">
        <v>9766</v>
      </c>
      <c r="M945" t="s">
        <v>9269</v>
      </c>
    </row>
    <row r="946" spans="9:13" x14ac:dyDescent="0.25">
      <c r="I946" t="s">
        <v>10945</v>
      </c>
      <c r="J946" t="s">
        <v>2938</v>
      </c>
      <c r="K946" t="s">
        <v>9182</v>
      </c>
      <c r="L946" t="s">
        <v>10946</v>
      </c>
      <c r="M946" t="s">
        <v>9184</v>
      </c>
    </row>
    <row r="947" spans="9:13" x14ac:dyDescent="0.25">
      <c r="I947" t="s">
        <v>10947</v>
      </c>
      <c r="J947" t="s">
        <v>1566</v>
      </c>
      <c r="K947" t="s">
        <v>9174</v>
      </c>
      <c r="L947" t="s">
        <v>10948</v>
      </c>
      <c r="M947" t="s">
        <v>9176</v>
      </c>
    </row>
    <row r="948" spans="9:13" x14ac:dyDescent="0.25">
      <c r="I948" t="s">
        <v>10949</v>
      </c>
      <c r="J948" t="s">
        <v>1938</v>
      </c>
      <c r="K948" t="s">
        <v>9098</v>
      </c>
      <c r="L948" t="s">
        <v>10950</v>
      </c>
      <c r="M948" t="s">
        <v>9100</v>
      </c>
    </row>
    <row r="949" spans="9:13" x14ac:dyDescent="0.25">
      <c r="I949" t="s">
        <v>10951</v>
      </c>
      <c r="J949" t="s">
        <v>3834</v>
      </c>
      <c r="K949" t="s">
        <v>9179</v>
      </c>
      <c r="L949" t="s">
        <v>10952</v>
      </c>
      <c r="M949" t="s">
        <v>9181</v>
      </c>
    </row>
    <row r="950" spans="9:13" x14ac:dyDescent="0.25">
      <c r="I950" t="s">
        <v>10953</v>
      </c>
      <c r="J950" t="s">
        <v>1086</v>
      </c>
      <c r="K950" t="s">
        <v>9231</v>
      </c>
      <c r="L950" t="s">
        <v>10954</v>
      </c>
      <c r="M950" t="s">
        <v>9233</v>
      </c>
    </row>
    <row r="951" spans="9:13" x14ac:dyDescent="0.25">
      <c r="I951" t="s">
        <v>10955</v>
      </c>
      <c r="J951" t="s">
        <v>2878</v>
      </c>
      <c r="K951" t="s">
        <v>9223</v>
      </c>
      <c r="L951" t="s">
        <v>10956</v>
      </c>
      <c r="M951" t="s">
        <v>9225</v>
      </c>
    </row>
    <row r="952" spans="9:13" x14ac:dyDescent="0.25">
      <c r="I952" t="s">
        <v>10957</v>
      </c>
      <c r="J952" t="s">
        <v>10958</v>
      </c>
      <c r="K952" t="s">
        <v>9161</v>
      </c>
      <c r="L952" t="s">
        <v>10959</v>
      </c>
      <c r="M952" t="s">
        <v>9163</v>
      </c>
    </row>
    <row r="953" spans="9:13" x14ac:dyDescent="0.25">
      <c r="I953" t="s">
        <v>10960</v>
      </c>
      <c r="J953" t="s">
        <v>2398</v>
      </c>
      <c r="K953" t="s">
        <v>9098</v>
      </c>
      <c r="L953" t="s">
        <v>10961</v>
      </c>
      <c r="M953" t="s">
        <v>9100</v>
      </c>
    </row>
    <row r="954" spans="9:13" x14ac:dyDescent="0.25">
      <c r="I954" t="s">
        <v>10962</v>
      </c>
      <c r="J954" t="s">
        <v>2189</v>
      </c>
      <c r="K954" t="s">
        <v>9123</v>
      </c>
      <c r="L954" t="s">
        <v>10963</v>
      </c>
      <c r="M954" t="s">
        <v>9125</v>
      </c>
    </row>
    <row r="955" spans="9:13" x14ac:dyDescent="0.25">
      <c r="I955" t="s">
        <v>10964</v>
      </c>
      <c r="J955" t="s">
        <v>3991</v>
      </c>
      <c r="K955" t="s">
        <v>9174</v>
      </c>
      <c r="L955" t="s">
        <v>10965</v>
      </c>
      <c r="M955" t="s">
        <v>9176</v>
      </c>
    </row>
    <row r="956" spans="9:13" x14ac:dyDescent="0.25">
      <c r="I956" t="s">
        <v>10966</v>
      </c>
      <c r="J956" t="s">
        <v>3245</v>
      </c>
      <c r="K956" t="s">
        <v>9438</v>
      </c>
      <c r="L956" t="s">
        <v>10967</v>
      </c>
      <c r="M956" t="s">
        <v>9440</v>
      </c>
    </row>
    <row r="957" spans="9:13" x14ac:dyDescent="0.25">
      <c r="I957" t="s">
        <v>10968</v>
      </c>
      <c r="J957" t="s">
        <v>3831</v>
      </c>
      <c r="K957" t="s">
        <v>9284</v>
      </c>
      <c r="L957" t="s">
        <v>10969</v>
      </c>
      <c r="M957" t="s">
        <v>9286</v>
      </c>
    </row>
    <row r="958" spans="9:13" x14ac:dyDescent="0.25">
      <c r="I958" t="s">
        <v>10970</v>
      </c>
      <c r="J958" t="s">
        <v>5844</v>
      </c>
      <c r="K958" t="s">
        <v>9550</v>
      </c>
      <c r="L958" t="s">
        <v>10971</v>
      </c>
      <c r="M958" t="s">
        <v>9552</v>
      </c>
    </row>
    <row r="959" spans="9:13" x14ac:dyDescent="0.25">
      <c r="I959" t="s">
        <v>10972</v>
      </c>
      <c r="J959" t="s">
        <v>6200</v>
      </c>
      <c r="K959" t="s">
        <v>9219</v>
      </c>
      <c r="L959" t="s">
        <v>10973</v>
      </c>
      <c r="M959" t="s">
        <v>9221</v>
      </c>
    </row>
    <row r="960" spans="9:13" x14ac:dyDescent="0.25">
      <c r="I960" t="s">
        <v>10974</v>
      </c>
      <c r="J960" t="s">
        <v>897</v>
      </c>
      <c r="K960" t="s">
        <v>10585</v>
      </c>
      <c r="L960" t="s">
        <v>10975</v>
      </c>
      <c r="M960" t="s">
        <v>10587</v>
      </c>
    </row>
    <row r="961" spans="9:13" x14ac:dyDescent="0.25">
      <c r="I961" t="s">
        <v>10976</v>
      </c>
      <c r="J961" t="s">
        <v>10977</v>
      </c>
      <c r="K961" t="s">
        <v>9108</v>
      </c>
      <c r="L961" t="s">
        <v>10978</v>
      </c>
      <c r="M961" t="s">
        <v>9110</v>
      </c>
    </row>
    <row r="962" spans="9:13" x14ac:dyDescent="0.25">
      <c r="I962" t="s">
        <v>10979</v>
      </c>
      <c r="J962" t="s">
        <v>6659</v>
      </c>
      <c r="K962" t="s">
        <v>9174</v>
      </c>
      <c r="L962" t="s">
        <v>10980</v>
      </c>
      <c r="M962" t="s">
        <v>9176</v>
      </c>
    </row>
    <row r="963" spans="9:13" x14ac:dyDescent="0.25">
      <c r="I963" t="s">
        <v>10981</v>
      </c>
      <c r="J963" t="s">
        <v>4329</v>
      </c>
      <c r="K963" t="s">
        <v>9196</v>
      </c>
      <c r="L963" t="s">
        <v>10982</v>
      </c>
      <c r="M963" t="s">
        <v>9198</v>
      </c>
    </row>
    <row r="964" spans="9:13" x14ac:dyDescent="0.25">
      <c r="I964" t="s">
        <v>10983</v>
      </c>
      <c r="J964" t="s">
        <v>4963</v>
      </c>
      <c r="K964" t="s">
        <v>9187</v>
      </c>
      <c r="L964" t="s">
        <v>10984</v>
      </c>
      <c r="M964" t="s">
        <v>9189</v>
      </c>
    </row>
    <row r="965" spans="9:13" x14ac:dyDescent="0.25">
      <c r="I965" t="s">
        <v>10985</v>
      </c>
      <c r="J965" t="s">
        <v>385</v>
      </c>
      <c r="K965" t="s">
        <v>9174</v>
      </c>
      <c r="L965" t="s">
        <v>10986</v>
      </c>
      <c r="M965" t="s">
        <v>9176</v>
      </c>
    </row>
    <row r="966" spans="9:13" x14ac:dyDescent="0.25">
      <c r="I966" t="s">
        <v>10987</v>
      </c>
      <c r="J966" t="s">
        <v>10988</v>
      </c>
      <c r="K966" t="s">
        <v>9155</v>
      </c>
      <c r="L966" t="s">
        <v>9352</v>
      </c>
      <c r="M966" t="s">
        <v>9157</v>
      </c>
    </row>
    <row r="967" spans="9:13" x14ac:dyDescent="0.25">
      <c r="I967" t="s">
        <v>10989</v>
      </c>
      <c r="J967" t="s">
        <v>5686</v>
      </c>
      <c r="K967" t="s">
        <v>9174</v>
      </c>
      <c r="L967" t="s">
        <v>10990</v>
      </c>
      <c r="M967" t="s">
        <v>9176</v>
      </c>
    </row>
    <row r="968" spans="9:13" x14ac:dyDescent="0.25">
      <c r="I968" t="s">
        <v>10991</v>
      </c>
      <c r="J968" t="s">
        <v>8602</v>
      </c>
      <c r="K968" t="s">
        <v>9438</v>
      </c>
      <c r="L968" t="s">
        <v>10992</v>
      </c>
      <c r="M968" t="s">
        <v>9440</v>
      </c>
    </row>
    <row r="969" spans="9:13" x14ac:dyDescent="0.25">
      <c r="I969" t="s">
        <v>10993</v>
      </c>
      <c r="J969" t="s">
        <v>4269</v>
      </c>
      <c r="K969" t="s">
        <v>9187</v>
      </c>
      <c r="L969" t="s">
        <v>10994</v>
      </c>
      <c r="M969" t="s">
        <v>9189</v>
      </c>
    </row>
    <row r="970" spans="9:13" x14ac:dyDescent="0.25">
      <c r="I970" t="s">
        <v>10995</v>
      </c>
      <c r="J970" t="s">
        <v>8398</v>
      </c>
      <c r="K970" t="s">
        <v>9070</v>
      </c>
      <c r="L970" t="s">
        <v>10996</v>
      </c>
      <c r="M970" t="s">
        <v>9072</v>
      </c>
    </row>
    <row r="971" spans="9:13" x14ac:dyDescent="0.25">
      <c r="I971" t="s">
        <v>10997</v>
      </c>
      <c r="J971" t="s">
        <v>4901</v>
      </c>
      <c r="K971" t="s">
        <v>9174</v>
      </c>
      <c r="L971" t="s">
        <v>10998</v>
      </c>
      <c r="M971" t="s">
        <v>9176</v>
      </c>
    </row>
    <row r="972" spans="9:13" x14ac:dyDescent="0.25">
      <c r="I972" t="s">
        <v>10999</v>
      </c>
      <c r="J972" t="s">
        <v>1828</v>
      </c>
      <c r="K972" t="s">
        <v>9105</v>
      </c>
      <c r="L972" t="s">
        <v>11000</v>
      </c>
      <c r="M972" t="s">
        <v>9107</v>
      </c>
    </row>
    <row r="973" spans="9:13" x14ac:dyDescent="0.25">
      <c r="I973" t="s">
        <v>11001</v>
      </c>
      <c r="J973" t="s">
        <v>8394</v>
      </c>
      <c r="K973" t="s">
        <v>10165</v>
      </c>
      <c r="L973" t="s">
        <v>11002</v>
      </c>
      <c r="M973" t="s">
        <v>10167</v>
      </c>
    </row>
    <row r="974" spans="9:13" x14ac:dyDescent="0.25">
      <c r="I974" t="s">
        <v>11003</v>
      </c>
      <c r="J974" t="s">
        <v>11004</v>
      </c>
      <c r="K974" t="s">
        <v>9527</v>
      </c>
      <c r="L974" t="s">
        <v>11005</v>
      </c>
      <c r="M974" t="s">
        <v>9529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A10" sqref="A10"/>
    </sheetView>
  </sheetViews>
  <sheetFormatPr defaultColWidth="9" defaultRowHeight="14.4" x14ac:dyDescent="0.25"/>
  <cols>
    <col min="1" max="2" width="40" style="4" customWidth="1" collapsed="1"/>
    <col min="3" max="16384" width="9" style="4"/>
  </cols>
  <sheetData>
    <row r="1" spans="1:3" ht="13.5" x14ac:dyDescent="0.15">
      <c r="A1" s="9" t="s">
        <v>8939</v>
      </c>
      <c r="B1" s="9" t="s">
        <v>8994</v>
      </c>
    </row>
    <row r="2" spans="1:3" ht="13.5" x14ac:dyDescent="0.15">
      <c r="A2" s="10" t="s">
        <v>8943</v>
      </c>
      <c r="B2" s="11">
        <v>2.92</v>
      </c>
      <c r="C2" s="4">
        <f>VLOOKUP(A2,Current!B:I,7,0)</f>
        <v>2.93</v>
      </c>
    </row>
    <row r="3" spans="1:3" ht="13.5" x14ac:dyDescent="0.15">
      <c r="A3" s="10" t="s">
        <v>8952</v>
      </c>
      <c r="B3" s="11">
        <v>1.99</v>
      </c>
      <c r="C3" s="4">
        <f>VLOOKUP(A3,Current!B:I,7,0)</f>
        <v>2.04</v>
      </c>
    </row>
    <row r="4" spans="1:3" ht="13.5" x14ac:dyDescent="0.15">
      <c r="A4" s="10" t="s">
        <v>8992</v>
      </c>
      <c r="B4" s="11">
        <v>2.81</v>
      </c>
      <c r="C4" s="4">
        <f>VLOOKUP(A4,Current!B:I,7,0)</f>
        <v>2.82</v>
      </c>
    </row>
    <row r="5" spans="1:3" ht="13.5" x14ac:dyDescent="0.15">
      <c r="A5" s="10" t="s">
        <v>8973</v>
      </c>
      <c r="B5" s="11">
        <v>2.0699999999999998</v>
      </c>
      <c r="C5" s="4">
        <f>VLOOKUP(A5,Current!B:I,7,0)</f>
        <v>2.0699999999999998</v>
      </c>
    </row>
    <row r="6" spans="1:3" ht="13.5" x14ac:dyDescent="0.15">
      <c r="A6" s="10" t="s">
        <v>8953</v>
      </c>
      <c r="B6" s="11">
        <v>1.22</v>
      </c>
      <c r="C6" s="4">
        <f>VLOOKUP(A6,Current!B:I,7,0)</f>
        <v>1.23</v>
      </c>
    </row>
    <row r="7" spans="1:3" ht="13.5" x14ac:dyDescent="0.15">
      <c r="A7" s="10" t="s">
        <v>8962</v>
      </c>
      <c r="B7" s="11">
        <v>5.21</v>
      </c>
      <c r="C7" s="4">
        <f>VLOOKUP(A7,Current!B:I,7,0)</f>
        <v>5.24</v>
      </c>
    </row>
    <row r="8" spans="1:3" ht="13.5" x14ac:dyDescent="0.15">
      <c r="A8" s="10" t="s">
        <v>8944</v>
      </c>
      <c r="B8" s="11">
        <v>1.89</v>
      </c>
      <c r="C8" s="4">
        <f>VLOOKUP(A8,Current!B:I,7,0)</f>
        <v>1.91</v>
      </c>
    </row>
    <row r="9" spans="1:3" ht="13.5" x14ac:dyDescent="0.15">
      <c r="A9" s="10" t="s">
        <v>8954</v>
      </c>
      <c r="B9" s="11">
        <v>0.99</v>
      </c>
      <c r="C9" s="4">
        <f>VLOOKUP(A9,Current!B:I,7,0)</f>
        <v>0.99</v>
      </c>
    </row>
    <row r="10" spans="1:3" ht="13.5" x14ac:dyDescent="0.15">
      <c r="A10" s="10" t="s">
        <v>9020</v>
      </c>
      <c r="B10" s="11">
        <v>1.52</v>
      </c>
      <c r="C10" s="4">
        <f>VLOOKUP(A10,Current!B:I,7,0)</f>
        <v>1.51</v>
      </c>
    </row>
    <row r="11" spans="1:3" ht="13.5" x14ac:dyDescent="0.15">
      <c r="A11" s="10" t="s">
        <v>8975</v>
      </c>
      <c r="B11" s="11">
        <v>2.75</v>
      </c>
      <c r="C11" s="4">
        <f>VLOOKUP(A11,Current!B:I,7,0)</f>
        <v>2.76</v>
      </c>
    </row>
    <row r="12" spans="1:3" ht="13.5" x14ac:dyDescent="0.15">
      <c r="A12" s="10" t="s">
        <v>8955</v>
      </c>
      <c r="B12" s="11">
        <v>0.96</v>
      </c>
      <c r="C12" s="4">
        <f>VLOOKUP(A12,Current!B:I,7,0)</f>
        <v>0.96</v>
      </c>
    </row>
    <row r="13" spans="1:3" ht="13.5" x14ac:dyDescent="0.15">
      <c r="A13" s="10" t="s">
        <v>8974</v>
      </c>
      <c r="B13" s="11">
        <v>0.96</v>
      </c>
      <c r="C13" s="4">
        <f>VLOOKUP(A13,Current!B:I,7,0)</f>
        <v>0.95</v>
      </c>
    </row>
    <row r="14" spans="1:3" ht="13.5" x14ac:dyDescent="0.15">
      <c r="A14" s="10" t="s">
        <v>9013</v>
      </c>
      <c r="B14" s="11">
        <v>0.3</v>
      </c>
      <c r="C14" s="4">
        <f>VLOOKUP(A14,Current!B:I,7,0)</f>
        <v>0.3</v>
      </c>
    </row>
    <row r="15" spans="1:3" ht="13.5" x14ac:dyDescent="0.15">
      <c r="A15" s="10" t="s">
        <v>8956</v>
      </c>
      <c r="B15" s="11">
        <v>0.91</v>
      </c>
      <c r="C15" s="4">
        <f>VLOOKUP(A15,Current!B:I,7,0)</f>
        <v>0.91</v>
      </c>
    </row>
    <row r="16" spans="1:3" ht="13.5" x14ac:dyDescent="0.15">
      <c r="A16" s="10" t="s">
        <v>8963</v>
      </c>
      <c r="B16" s="11">
        <v>4.8600000000000003</v>
      </c>
      <c r="C16" s="4">
        <f>VLOOKUP(A16,Current!B:I,7,0)</f>
        <v>4.8499999999999996</v>
      </c>
    </row>
    <row r="17" spans="1:4" ht="13.5" x14ac:dyDescent="0.15">
      <c r="A17" s="10" t="s">
        <v>9021</v>
      </c>
      <c r="B17" s="11">
        <v>0.84</v>
      </c>
      <c r="C17" s="4">
        <f>VLOOKUP(A17,Current!B:I,7,0)</f>
        <v>0.82</v>
      </c>
      <c r="D17" s="4" t="s">
        <v>9031</v>
      </c>
    </row>
    <row r="18" spans="1:4" ht="13.5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ht="13.5" x14ac:dyDescent="0.15">
      <c r="A19" s="10" t="s">
        <v>8964</v>
      </c>
      <c r="B19" s="11">
        <v>3.35</v>
      </c>
      <c r="C19" s="4">
        <f>VLOOKUP(A19,Current!B:I,7,0)</f>
        <v>3.25</v>
      </c>
    </row>
    <row r="20" spans="1:4" ht="13.5" x14ac:dyDescent="0.15">
      <c r="A20" s="10" t="s">
        <v>9022</v>
      </c>
      <c r="B20" s="11">
        <v>1.88</v>
      </c>
      <c r="C20" s="4">
        <f>VLOOKUP(A20,Current!B:I,7,0)</f>
        <v>1.86</v>
      </c>
      <c r="D20" s="4" t="s">
        <v>9032</v>
      </c>
    </row>
    <row r="21" spans="1:4" x14ac:dyDescent="0.25">
      <c r="A21" s="10" t="s">
        <v>8958</v>
      </c>
      <c r="B21" s="11">
        <v>2.46</v>
      </c>
      <c r="C21" s="4">
        <f>VLOOKUP(A21,Current!B:I,7,0)</f>
        <v>2.4500000000000002</v>
      </c>
    </row>
    <row r="22" spans="1:4" x14ac:dyDescent="0.25">
      <c r="A22" s="10" t="s">
        <v>8965</v>
      </c>
      <c r="B22" s="11">
        <v>0.7</v>
      </c>
      <c r="C22" s="4">
        <f>VLOOKUP(A22,Current!B:I,7,0)</f>
        <v>0.72</v>
      </c>
    </row>
    <row r="23" spans="1:4" x14ac:dyDescent="0.25">
      <c r="A23" s="10" t="s">
        <v>8945</v>
      </c>
      <c r="B23" s="11">
        <v>0.8</v>
      </c>
      <c r="C23" s="4">
        <f>VLOOKUP(A23,Current!B:I,7,0)</f>
        <v>0.76</v>
      </c>
    </row>
    <row r="24" spans="1:4" x14ac:dyDescent="0.25">
      <c r="A24" s="10" t="s">
        <v>9014</v>
      </c>
      <c r="B24" s="11">
        <v>1.23</v>
      </c>
      <c r="C24" s="4">
        <f>VLOOKUP(A24,Current!B:I,7,0)</f>
        <v>1.2</v>
      </c>
    </row>
    <row r="25" spans="1:4" x14ac:dyDescent="0.25">
      <c r="A25" s="10" t="s">
        <v>8966</v>
      </c>
      <c r="B25" s="11">
        <v>0.71</v>
      </c>
      <c r="C25" s="4">
        <f>VLOOKUP(A25,Current!B:I,7,0)</f>
        <v>0.71</v>
      </c>
    </row>
    <row r="26" spans="1:4" x14ac:dyDescent="0.25">
      <c r="A26" s="10" t="s">
        <v>8946</v>
      </c>
      <c r="B26" s="11">
        <v>0.37</v>
      </c>
      <c r="C26" s="4">
        <f>VLOOKUP(A26,Current!B:I,7,0)</f>
        <v>0.37</v>
      </c>
    </row>
    <row r="27" spans="1:4" x14ac:dyDescent="0.25">
      <c r="A27" s="10" t="s">
        <v>11006</v>
      </c>
      <c r="B27" s="11">
        <v>3.76</v>
      </c>
      <c r="C27" s="4">
        <f>VLOOKUP(A27,Current!B:I,7,0)</f>
        <v>4.0199999999999996</v>
      </c>
    </row>
    <row r="28" spans="1:4" x14ac:dyDescent="0.25">
      <c r="A28" s="10" t="s">
        <v>8967</v>
      </c>
      <c r="B28" s="11">
        <v>1.71</v>
      </c>
      <c r="C28" s="4">
        <f>VLOOKUP(A28,Current!B:I,7,0)</f>
        <v>1.72</v>
      </c>
    </row>
    <row r="29" spans="1:4" x14ac:dyDescent="0.25">
      <c r="A29" s="10" t="s">
        <v>8978</v>
      </c>
      <c r="B29" s="11">
        <v>0.48</v>
      </c>
      <c r="C29" s="4">
        <f>VLOOKUP(A29,Current!B:I,7,0)</f>
        <v>0.48</v>
      </c>
    </row>
    <row r="30" spans="1:4" x14ac:dyDescent="0.25">
      <c r="A30" s="10" t="s">
        <v>8976</v>
      </c>
      <c r="B30" s="11">
        <v>1.3</v>
      </c>
      <c r="C30" s="4">
        <f>VLOOKUP(A30,Current!B:I,7,0)</f>
        <v>1.3</v>
      </c>
    </row>
    <row r="31" spans="1:4" x14ac:dyDescent="0.25">
      <c r="A31" s="10" t="s">
        <v>8940</v>
      </c>
      <c r="B31" s="11">
        <v>10.68</v>
      </c>
      <c r="C31" s="4">
        <f>VLOOKUP(A31,Current!B:I,7,0)</f>
        <v>10.77</v>
      </c>
    </row>
    <row r="32" spans="1:4" x14ac:dyDescent="0.25">
      <c r="A32" s="10" t="s">
        <v>8947</v>
      </c>
      <c r="B32" s="11">
        <v>1.36</v>
      </c>
      <c r="C32" s="4">
        <f>VLOOKUP(A32,Current!B:I,7,0)</f>
        <v>1.37</v>
      </c>
    </row>
    <row r="33" spans="1:3" x14ac:dyDescent="0.25">
      <c r="A33" s="10" t="s">
        <v>8977</v>
      </c>
      <c r="B33" s="11">
        <v>3.03</v>
      </c>
      <c r="C33" s="4">
        <f>VLOOKUP(A33,Current!B:I,7,0)</f>
        <v>3.02</v>
      </c>
    </row>
    <row r="34" spans="1:3" x14ac:dyDescent="0.25">
      <c r="A34" s="10" t="s">
        <v>8948</v>
      </c>
      <c r="B34" s="11">
        <v>1.23</v>
      </c>
      <c r="C34" s="4">
        <f>VLOOKUP(A34,Current!B:I,7,0)</f>
        <v>1.23</v>
      </c>
    </row>
    <row r="35" spans="1:3" x14ac:dyDescent="0.25">
      <c r="A35" s="10" t="s">
        <v>8959</v>
      </c>
      <c r="B35" s="11">
        <v>1.57</v>
      </c>
      <c r="C35" s="4">
        <f>VLOOKUP(A35,Current!B:I,7,0)</f>
        <v>1.57</v>
      </c>
    </row>
    <row r="36" spans="1:3" x14ac:dyDescent="0.25">
      <c r="A36" s="10" t="s">
        <v>8980</v>
      </c>
      <c r="B36" s="11">
        <v>1.36</v>
      </c>
      <c r="C36" s="4">
        <f>VLOOKUP(A36,Current!B:I,7,0)</f>
        <v>1.34</v>
      </c>
    </row>
    <row r="37" spans="1:3" x14ac:dyDescent="0.25">
      <c r="A37" s="10" t="s">
        <v>8949</v>
      </c>
      <c r="B37" s="11">
        <v>0.88</v>
      </c>
      <c r="C37" s="4">
        <f>VLOOKUP(A37,Current!B:I,7,0)</f>
        <v>0.89</v>
      </c>
    </row>
    <row r="38" spans="1:3" x14ac:dyDescent="0.25">
      <c r="A38" s="10" t="s">
        <v>8961</v>
      </c>
      <c r="B38" s="11">
        <v>1.02</v>
      </c>
      <c r="C38" s="4">
        <f>VLOOKUP(A38,Current!B:I,7,0)</f>
        <v>1.02</v>
      </c>
    </row>
    <row r="39" spans="1:3" x14ac:dyDescent="0.25">
      <c r="A39" s="10" t="s">
        <v>8982</v>
      </c>
      <c r="B39" s="11">
        <v>1.55</v>
      </c>
      <c r="C39" s="4">
        <f>VLOOKUP(A39,Current!B:I,7,0)</f>
        <v>1.55</v>
      </c>
    </row>
    <row r="40" spans="1:3" x14ac:dyDescent="0.25">
      <c r="A40" s="10" t="s">
        <v>8950</v>
      </c>
      <c r="B40" s="11">
        <v>6.46</v>
      </c>
      <c r="C40" s="4">
        <f>VLOOKUP(A40,Current!B:I,7,0)</f>
        <v>6.52</v>
      </c>
    </row>
    <row r="41" spans="1:3" x14ac:dyDescent="0.25">
      <c r="A41" s="10" t="s">
        <v>8983</v>
      </c>
      <c r="B41" s="11">
        <v>0.31</v>
      </c>
      <c r="C41" s="4">
        <f>VLOOKUP(A41,Current!B:I,7,0)</f>
        <v>0.31</v>
      </c>
    </row>
    <row r="42" spans="1:3" x14ac:dyDescent="0.25">
      <c r="A42" s="10" t="s">
        <v>8984</v>
      </c>
      <c r="B42" s="11">
        <v>0.44</v>
      </c>
      <c r="C42" s="4">
        <f>VLOOKUP(A42,Current!B:I,7,0)</f>
        <v>0.44</v>
      </c>
    </row>
    <row r="43" spans="1:3" x14ac:dyDescent="0.25">
      <c r="A43" s="10" t="s">
        <v>8941</v>
      </c>
      <c r="B43" s="11">
        <v>0.82</v>
      </c>
      <c r="C43" s="4">
        <f>VLOOKUP(A43,Current!B:I,7,0)</f>
        <v>0.82</v>
      </c>
    </row>
    <row r="44" spans="1:3" x14ac:dyDescent="0.25">
      <c r="A44" s="10" t="s">
        <v>8986</v>
      </c>
      <c r="B44" s="11">
        <v>1.53</v>
      </c>
      <c r="C44" s="4">
        <f>VLOOKUP(A44,Current!B:I,7,0)</f>
        <v>1.55</v>
      </c>
    </row>
    <row r="45" spans="1:3" x14ac:dyDescent="0.25">
      <c r="A45" s="10" t="s">
        <v>8968</v>
      </c>
      <c r="B45" s="11">
        <v>3.83</v>
      </c>
      <c r="C45" s="4">
        <f>VLOOKUP(A45,Current!B:I,7,0)</f>
        <v>3.82</v>
      </c>
    </row>
    <row r="46" spans="1:3" x14ac:dyDescent="0.25">
      <c r="A46" s="10" t="s">
        <v>8988</v>
      </c>
      <c r="B46" s="11">
        <v>1.91</v>
      </c>
      <c r="C46" s="4">
        <f>VLOOKUP(A46,Current!B:I,7,0)</f>
        <v>1.91</v>
      </c>
    </row>
    <row r="47" spans="1:3" x14ac:dyDescent="0.25">
      <c r="A47" s="10" t="s">
        <v>8990</v>
      </c>
      <c r="B47" s="11">
        <v>2.11</v>
      </c>
      <c r="C47" s="4">
        <f>VLOOKUP(A47,Current!B:I,7,0)</f>
        <v>2.11</v>
      </c>
    </row>
    <row r="48" spans="1:3" x14ac:dyDescent="0.25">
      <c r="A48" s="10" t="s">
        <v>8951</v>
      </c>
      <c r="B48" s="11">
        <v>3.99</v>
      </c>
      <c r="C48" s="4">
        <f>VLOOKUP(A48,Current!B:I,7,0)</f>
        <v>4</v>
      </c>
    </row>
    <row r="49" spans="1:3" x14ac:dyDescent="0.25">
      <c r="A49" s="10" t="s">
        <v>8989</v>
      </c>
      <c r="B49" s="11">
        <v>1.87</v>
      </c>
      <c r="C49" s="4">
        <f>VLOOKUP(A49,Current!B:I,7,0)</f>
        <v>1.88</v>
      </c>
    </row>
    <row r="50" spans="1:3" x14ac:dyDescent="0.25">
      <c r="A50" s="10" t="s">
        <v>8987</v>
      </c>
      <c r="B50" s="11">
        <v>0.63</v>
      </c>
      <c r="C50" s="4">
        <f>VLOOKUP(A50,Current!B:I,7,0)</f>
        <v>0.63</v>
      </c>
    </row>
    <row r="51" spans="1:3" x14ac:dyDescent="0.25">
      <c r="A51" s="10" t="s">
        <v>8991</v>
      </c>
      <c r="B51" s="11">
        <v>1.24</v>
      </c>
      <c r="C51" s="4">
        <f>VLOOKUP(A51,Current!B:I,7,0)</f>
        <v>1.24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4.4" x14ac:dyDescent="0.25"/>
  <cols>
    <col min="1" max="1" width="44.109375" customWidth="1"/>
    <col min="4" max="4" width="40.44140625" bestFit="1" customWidth="1"/>
    <col min="5" max="5" width="40.44140625" customWidth="1"/>
    <col min="12" max="12" width="38.21875" bestFit="1" customWidth="1"/>
  </cols>
  <sheetData>
    <row r="1" spans="1:12" ht="13.5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ht="13.5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ht="13.5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ht="13.5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ht="13.5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ht="13.5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ht="13.5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ht="13.5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ht="13.5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ht="13.5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ht="13.5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ht="13.5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ht="13.5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ht="13.5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3.5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3.5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3.5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3.5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3.5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3.5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2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2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2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2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2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2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2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2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2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2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2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2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2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2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2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2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2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4.4" x14ac:dyDescent="0.25"/>
  <cols>
    <col min="2" max="2" width="31.6640625" customWidth="1"/>
    <col min="7" max="7" width="9" customWidth="1"/>
    <col min="10" max="12" width="0" hidden="1" customWidth="1"/>
    <col min="13" max="13" width="9.44140625" hidden="1" customWidth="1"/>
    <col min="14" max="16" width="0" hidden="1" customWidth="1"/>
    <col min="17" max="22" width="0" style="4" hidden="1" customWidth="1"/>
  </cols>
  <sheetData>
    <row r="1" spans="1:26" ht="13.5" x14ac:dyDescent="0.15">
      <c r="Y1" t="s">
        <v>8852</v>
      </c>
    </row>
    <row r="2" spans="1:26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2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2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2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2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2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2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2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2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2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2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2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2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2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2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2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2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2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2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2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2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2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2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2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2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2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2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2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2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2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2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2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2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2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2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2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2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2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2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2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2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2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2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2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2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2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2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2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2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2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2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2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2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2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2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2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2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2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2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2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2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2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2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2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2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2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2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2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2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2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2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2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2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2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2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2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2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2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2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2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2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2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2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2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2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2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2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2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2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2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2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2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2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2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2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2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2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2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2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2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2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2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2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2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2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2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2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2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2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2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2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2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2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2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2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2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2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2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2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2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2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2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2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2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2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2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2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2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2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2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2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2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2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2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2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2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2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2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2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2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2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2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2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2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2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2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2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2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2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2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2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2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2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2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2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2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2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2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2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2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2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2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2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2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2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2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2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2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2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2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2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2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2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2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2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2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2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2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2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2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2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2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2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2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2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2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2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2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2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2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2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2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2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2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2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2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2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2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2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2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2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2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2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2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2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2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2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2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2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2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2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2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2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2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2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2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2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2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2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2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2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2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2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2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2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2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2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2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2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2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2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2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2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2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2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2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2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2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2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2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2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2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2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2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2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2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2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2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2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2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2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2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2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2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2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2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2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2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2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2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2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2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2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2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2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2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2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2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2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2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2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2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2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2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2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2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2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2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2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2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2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2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2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2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2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2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2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2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2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2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2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2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2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2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2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2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2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2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2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2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2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2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2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2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2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2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2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2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2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2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2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2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2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2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2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2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2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2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2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2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2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2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2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2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2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2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2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2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2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2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2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2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2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2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2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2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2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2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2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2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2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2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2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2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2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2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2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2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2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2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2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2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2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2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2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2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2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2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2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2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2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2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2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2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2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2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2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2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2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2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2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2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2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2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2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2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2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2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2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2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2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2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2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2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2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2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2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2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2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2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2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2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2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2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2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2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2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2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2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2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2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2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2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2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2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2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2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2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2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2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2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2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2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2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2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2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2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2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2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2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2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2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2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2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2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2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2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2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2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2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2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2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2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2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2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2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2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2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2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2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2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2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2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2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2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2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2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2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2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2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2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2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2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2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2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2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2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2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2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2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2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2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2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2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2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2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2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2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2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2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2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2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2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2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2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2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2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2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2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2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2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2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2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2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2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2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2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2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2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2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2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2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2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2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2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2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2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2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2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2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2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2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2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2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2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2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2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2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2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2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2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2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2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2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2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2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2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2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2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2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2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2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2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2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2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2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2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2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2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2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2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2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2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2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2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2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2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2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2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2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2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2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2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2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2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2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2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2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2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2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2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2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2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2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2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2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2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2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2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2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2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2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2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2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2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2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2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2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2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2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2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2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2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2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2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2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2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2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2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2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2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2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2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2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2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2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2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2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2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2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2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2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2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2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2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2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2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2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2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2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2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2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2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2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2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2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2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2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2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2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2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2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2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2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2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2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2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2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2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2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2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2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2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2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2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2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2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2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2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2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2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2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2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2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2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2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2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2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2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2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2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2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2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2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2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2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2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2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2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2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2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2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2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2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2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2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2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2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2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2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2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2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2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2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2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2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2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2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2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2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2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2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2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2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2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2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2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2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2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2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2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2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2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2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2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2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2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2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2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2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2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2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2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2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2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2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2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2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2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2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2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2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2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2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2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2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2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2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2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2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2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2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2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2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2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2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2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2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2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2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2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2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2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2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2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2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2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2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2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2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2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2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2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2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2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2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2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2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2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2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2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2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2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2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2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2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2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2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2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2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2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2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2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2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2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2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2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2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2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2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2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2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2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2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2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2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2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2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2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2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2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2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2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2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2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2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2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2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2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2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2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2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2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2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2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2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2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2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2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2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2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2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2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2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2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2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2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2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2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2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2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2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2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2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2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2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2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2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2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2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2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2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2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2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2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2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2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2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2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2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2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2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2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2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2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2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2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2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2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2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2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2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2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2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2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2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2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2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2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2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2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2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2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2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2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2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2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2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2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2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2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2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2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2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2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2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2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2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2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2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2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2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2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2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2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2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2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2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2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2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2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2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2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2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2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2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2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2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2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2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2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2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2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2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2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2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2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2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2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2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2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2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2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2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2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2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2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2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2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2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2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2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2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2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2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2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2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2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2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2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2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2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2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2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2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2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2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2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2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2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2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2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2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2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2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2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2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2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2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2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2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2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2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2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2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2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2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2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2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2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2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2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2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2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2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2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2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2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2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2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2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2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2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2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2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2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2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2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2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2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2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2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2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2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2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2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2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2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2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2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2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2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2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2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2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2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2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2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2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2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2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2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2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2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2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2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2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2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2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2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2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2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2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2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2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2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2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2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2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2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2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2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2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2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2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2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2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2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2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2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2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2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2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2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2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2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2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2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2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2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2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2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2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2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2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2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2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2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2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2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2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2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2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2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2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2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2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2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2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2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2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2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2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2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2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2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2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2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2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2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2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2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2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2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2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2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2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2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2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2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2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2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2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2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2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2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2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2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2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2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2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2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2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2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2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2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2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2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2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2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2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2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2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2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2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2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2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2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2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2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2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2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2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2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2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2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2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2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2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2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2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2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2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2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2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2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2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2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2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2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2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2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2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2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2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2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2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2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2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2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2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2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2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2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2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2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2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2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2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2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2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2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2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2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2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2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2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2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2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2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2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2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2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2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2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2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2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2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2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2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2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2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2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2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2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2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2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2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2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2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2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2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2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2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2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2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2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2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2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2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2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2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2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2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2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2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2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2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2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2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2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2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2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2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2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2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2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2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2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2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2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2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2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2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2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2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2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2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2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2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2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2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2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2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2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2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2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2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2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2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2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2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2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2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2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2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2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2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2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2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2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2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2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2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2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2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2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2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2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2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2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2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2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2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2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2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2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2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2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2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2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2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2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2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2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2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2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2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2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2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2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2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2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2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2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2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2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2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2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2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2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2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2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2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2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2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2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2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2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2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2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2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2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2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2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2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2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2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2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2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2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2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2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2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2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2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2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2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2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2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2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2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2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2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2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2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2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2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2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2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2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2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2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2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2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2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2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2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2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2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2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2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2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2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2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2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2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2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2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2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2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2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2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2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2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2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2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2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2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2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2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2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2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2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2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2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2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2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2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2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2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2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2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2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2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2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2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2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2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2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2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2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2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2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2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2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2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2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2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2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2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2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2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2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2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2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2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2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2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2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2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2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2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2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2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2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2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2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2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2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2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2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2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2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2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2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2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2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2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2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2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2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2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2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2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2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2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2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2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2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2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2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2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2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2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2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2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2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2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2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2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2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2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2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2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2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2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2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2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2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2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2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2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2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2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2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2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2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2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2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2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2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2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2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2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2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2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2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2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2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2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2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2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2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2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2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2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2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2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2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2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2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2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2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2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2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2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2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2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2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2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2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2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2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2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2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2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2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2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2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2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2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2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2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2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2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2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2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2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2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2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2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2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2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2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2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2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2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2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2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2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2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2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2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2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2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2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2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2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2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2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2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2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2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2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2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2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2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2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2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2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2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2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2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2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2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2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2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2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2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2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2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2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2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2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2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2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2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2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2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2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2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2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2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2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2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2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2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2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2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2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2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2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2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2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2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2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2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2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2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2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2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2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2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2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2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2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2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2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2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2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2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2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2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2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2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2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2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2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2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2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2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2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2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2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2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2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2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2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2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2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2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2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2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2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2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2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2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2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2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2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2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2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2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2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2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2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2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2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2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2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2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2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2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2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2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2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2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2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2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2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2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2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2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2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2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2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2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2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2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2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2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2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2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2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2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2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2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2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2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2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2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2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2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2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2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2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2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2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2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2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2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2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2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2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2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2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2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2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2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2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2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2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2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2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2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2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2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2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2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2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2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2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2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2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2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2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2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2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2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2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2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2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2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2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2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2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2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2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2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2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2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2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2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2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2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2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2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2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2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2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2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2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2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2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2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2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2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2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2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2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2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2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2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2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2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2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2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2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2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2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2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2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2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2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2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2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2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2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2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2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2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2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2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2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2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2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2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2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2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2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2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2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2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2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2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2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2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2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2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2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2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2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2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2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2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2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2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2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2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2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2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2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2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2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2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2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2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2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2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2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2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2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2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2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2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2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2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2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2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2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2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2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2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2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2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2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2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2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2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2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2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2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2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2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2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2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2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2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2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2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2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2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2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2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2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2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2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2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2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2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2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2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2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2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2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2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2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2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2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2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2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2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2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2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2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2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2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2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2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2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2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2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2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2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2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2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2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2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2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2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2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2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2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2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2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2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2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2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2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2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2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2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2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2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2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2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2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2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2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2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2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2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2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2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2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2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2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2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2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2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2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2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2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2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2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2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2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2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2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2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2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2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2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2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2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2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2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2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2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2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2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2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2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2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2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2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2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2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2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2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2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2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2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2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2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2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2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2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2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2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2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2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2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2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2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2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2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2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2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2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2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2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2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2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2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2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2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2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2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2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2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2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2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2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2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2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2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2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2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2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2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2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2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2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2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2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2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2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2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2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2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2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2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2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2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2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2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2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2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2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2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2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2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2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2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2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2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2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2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2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2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2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2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2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2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2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2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2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2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2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2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2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2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2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2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2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2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2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2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2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2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2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2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2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2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2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2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2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2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2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2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2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2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2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2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2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2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2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2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2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2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2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2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2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2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2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2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2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2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2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2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2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2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2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2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2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2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2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2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2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2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2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2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2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2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2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2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2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2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2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2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2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2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2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2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2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2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2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2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2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2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2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2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2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2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2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2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2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2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2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2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2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2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2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2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2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2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2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2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2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2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2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2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2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2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2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2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2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2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2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2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2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2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2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2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2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2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2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2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2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2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2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2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2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2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2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2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2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2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2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2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2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2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2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2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2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2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2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2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2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2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2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2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2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2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2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2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2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2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2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2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2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2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2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2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2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2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2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2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2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2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2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2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2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2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2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2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2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2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2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2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2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2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2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2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2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2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2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2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2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2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2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2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2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2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2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2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2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2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2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2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2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2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2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2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2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2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2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2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2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2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2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2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2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2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2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2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2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2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2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2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2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2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2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2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2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2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2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2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2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2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2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2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2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2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2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2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2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2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2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2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2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2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2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2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2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2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2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2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2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2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2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2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2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2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2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2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2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2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2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2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2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2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2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2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2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2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2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2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2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2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2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2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2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2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2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2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2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2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2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2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2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2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2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2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2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2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2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2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2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2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2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2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2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2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2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2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2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2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2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2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2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2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2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2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2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2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2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2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2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2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2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2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2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2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2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2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2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2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2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2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2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2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2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2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2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2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2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2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2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2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2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2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2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2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2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2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2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2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2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2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2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2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2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2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2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2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2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2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2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2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2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2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2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2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2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2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2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2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2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2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2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2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2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2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2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2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2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2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2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2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2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2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2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2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2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2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2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2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2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2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2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2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2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2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2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2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2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2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2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2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2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2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2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2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2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2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2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2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2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2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2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2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2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2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2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2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2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2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2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2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2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2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2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2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2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2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2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2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2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2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2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2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2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2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2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2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2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2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2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2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2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2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2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2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2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2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2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2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2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2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2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2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2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2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2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2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2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2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2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2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2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2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2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2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2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2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2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2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2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2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2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2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2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2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2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2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2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2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2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2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2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2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2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2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2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2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2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2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2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2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2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2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2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2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2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2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2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2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2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2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2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2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2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2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2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2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2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2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2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2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2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2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2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2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2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2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2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2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2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2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2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2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2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2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2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2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2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2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2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2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2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2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2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2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2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2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2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2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2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2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2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2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2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2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2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2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2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2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2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2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2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2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2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2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2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2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2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2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2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2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2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2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2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2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2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2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2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2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2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2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2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2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2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2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2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2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2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2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2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2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2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2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2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2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2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2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2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2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2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2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2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2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2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2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2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2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2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2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2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2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2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2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2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2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2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2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2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2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2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2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2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2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2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2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2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2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2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2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2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2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2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2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2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2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2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2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4.4" x14ac:dyDescent="0.25"/>
  <cols>
    <col min="1" max="1" width="31.6640625" customWidth="1"/>
    <col min="6" max="6" width="9" customWidth="1"/>
    <col min="9" max="11" width="0" hidden="1" customWidth="1"/>
    <col min="12" max="12" width="9.44140625" hidden="1" customWidth="1"/>
    <col min="13" max="15" width="0" hidden="1" customWidth="1"/>
    <col min="16" max="21" width="0" style="4" hidden="1" customWidth="1"/>
    <col min="24" max="24" width="16.44140625" bestFit="1" customWidth="1"/>
  </cols>
  <sheetData>
    <row r="1" spans="1:25" x14ac:dyDescent="0.25">
      <c r="X1" t="s">
        <v>8852</v>
      </c>
    </row>
    <row r="2" spans="1:25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2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2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2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2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2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2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2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2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2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2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2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2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2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2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2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2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2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2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2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2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2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2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2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2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2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2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2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2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2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2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2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2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2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2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2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2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2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2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2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2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2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2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2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2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2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2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2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2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2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2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2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2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2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2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2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2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2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2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2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2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2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2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2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2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2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2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2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2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2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2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2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2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2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2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2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2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2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2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2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2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2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2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2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2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2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2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2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2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2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2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2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2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2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2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2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2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2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2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2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2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2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2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2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2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2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2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2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2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2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2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2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2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2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2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2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2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2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2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2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2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2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2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2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2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2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2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2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2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2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2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2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2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2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2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2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2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2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2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2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2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2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2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2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2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2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2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2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2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2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2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2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2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2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2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2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2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2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2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2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2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2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2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2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2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2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2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2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2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2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2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2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2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2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2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2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2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2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2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2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2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2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2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2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2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2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2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2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2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2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2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2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2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2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2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2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2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2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2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2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2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2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2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2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2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2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2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2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2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2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2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2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2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2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2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2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2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2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2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2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2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2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2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2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2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2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2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2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2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2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2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2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2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2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2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2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2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2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2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2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2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2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2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2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2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2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2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2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2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2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2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2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2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2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2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2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2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2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2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2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2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2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2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2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2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2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2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2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2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2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2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2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2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2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2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2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2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2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2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2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2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2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2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2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2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2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2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2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2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2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2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2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2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2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2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2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2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2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2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2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2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2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2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2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2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2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2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2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2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2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2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2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2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2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2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2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2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2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2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2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2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2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2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2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2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2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2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2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2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2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2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2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2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2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2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2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2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2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2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2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2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2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2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2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2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2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2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2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2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2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2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2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2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2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2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2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2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2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2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2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2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2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2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2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2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2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2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2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2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2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2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2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2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2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2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2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2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2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2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2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2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2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2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2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2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2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2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2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2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2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2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2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2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2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2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2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2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2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2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2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2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2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2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2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2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2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2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2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2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2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2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2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2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2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2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2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2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2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2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2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2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2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2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2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2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2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2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2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2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2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2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2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2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2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2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2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2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2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2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2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2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2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2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2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2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2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2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2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2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2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2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2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2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2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2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2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2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2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2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2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2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2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2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2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2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2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2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2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2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2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2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2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2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2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2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2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2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2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2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2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2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2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2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2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2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2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2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2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2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2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2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2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2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2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2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2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2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2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2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2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2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2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2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2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2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2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2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2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2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2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2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2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2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2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2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2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2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2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2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2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2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2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2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2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2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2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2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2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2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2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2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2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2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2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2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2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2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2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2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2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2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2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2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2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2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2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2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2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2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2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2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2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2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2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2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2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2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2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2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2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2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2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2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2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2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2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2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2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2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2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2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2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2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2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2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2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2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2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2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2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2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2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2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2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2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2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2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2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2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2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2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2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2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2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2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2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2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2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2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2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2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2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2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2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2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2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2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2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2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2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2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2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2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2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2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2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2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2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2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2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2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2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2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2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2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2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2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2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2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2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2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2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2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2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2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2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2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2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2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2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2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2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2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2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2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2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2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2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2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2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2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2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2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2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2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2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2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2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2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2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2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2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2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2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2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2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2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2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2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2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2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2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2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2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2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2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2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2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2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2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2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2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2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2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2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2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2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2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2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2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2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2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2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2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2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2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2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2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2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2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2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2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2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2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2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2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2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2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2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2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2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2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2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2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2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2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2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2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2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2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2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2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2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2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2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2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2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2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2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2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2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2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2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2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2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2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2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2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2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2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2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2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2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2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2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2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2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2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2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2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2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2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2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2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2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2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2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2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2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2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2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2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2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2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2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2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2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2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2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2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2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2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2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2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2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2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2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2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2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2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2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2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2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2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2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2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2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2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2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2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2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2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2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2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2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2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2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2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2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2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2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2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2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2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2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2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2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2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2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2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2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2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2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2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2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2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2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2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2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2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2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2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2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2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2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2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2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2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2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2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2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2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2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2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2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2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2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2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2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2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2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2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2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2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2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2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2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2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2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2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2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2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2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2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2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2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2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2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2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2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2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2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2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2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2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2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2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2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2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2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2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2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2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2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2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2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2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2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2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2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2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2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2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2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2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2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2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2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2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2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2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2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2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2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2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2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2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2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2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2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2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2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2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2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2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2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2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2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2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2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2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2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2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2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2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2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2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2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2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2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2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2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2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2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2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2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2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2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2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2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2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2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2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2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2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2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2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2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2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2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2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2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2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2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2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2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2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2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2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2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2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2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2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2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2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2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2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2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2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2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2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2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2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2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2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2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2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2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2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2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2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2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2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2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2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2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2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2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2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2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2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2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2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2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2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2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2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2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2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2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2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2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2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2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2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2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2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2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2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2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2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2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2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2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2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2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2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2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2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2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2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2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2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2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2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2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2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2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2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2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2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2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2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2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2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2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2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2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2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2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2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2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2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2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2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2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2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2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2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2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2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2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2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2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2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2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2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2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2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2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2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2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2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2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2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2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2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2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2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2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2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2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2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2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2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2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2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2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2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2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2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2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2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2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2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2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2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2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2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2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2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2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2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2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2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2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2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2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2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2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2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2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2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2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2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2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2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2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2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2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2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2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2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2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2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2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2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2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2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2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2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2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2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2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2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2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2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2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2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2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2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2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2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2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2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2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2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2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2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2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2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2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2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2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2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2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2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2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2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2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2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2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2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2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2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2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2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2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2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2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2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2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2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2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2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2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2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2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2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2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2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2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2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2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2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2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2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2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2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2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2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2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2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2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2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2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2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2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2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2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2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2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2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2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2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2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2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2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2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2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2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2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2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2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2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2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2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2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2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2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2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2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2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2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2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2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2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2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2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2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2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2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2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2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2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2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2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2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2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2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2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2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2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2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2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2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2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2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2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2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2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2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2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2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2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2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2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2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2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2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2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2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2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2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2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2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2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2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2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2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2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2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2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2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2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2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2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2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2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2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2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2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2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2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2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2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2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2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2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2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2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2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2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2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2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2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2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2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2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2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2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2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2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2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2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2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2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2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2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2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2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2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2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2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2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2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2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2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2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2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2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2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2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2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2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2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2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2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2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2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2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2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2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2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2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2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2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2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2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2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2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2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2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2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2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2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2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2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2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2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2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2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2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2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2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2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2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2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2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2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2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2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2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2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2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2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2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2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2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2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2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2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2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2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2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2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2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2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2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2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2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2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2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2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2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2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2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2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2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2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2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2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2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2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2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2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2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2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2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2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2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2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2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2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2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2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2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2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2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2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2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2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2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2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2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2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2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2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2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2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2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2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2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2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2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2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2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2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2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2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2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2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2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2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2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2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2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2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2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2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2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2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2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2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2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2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2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2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2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2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2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2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2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2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2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2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2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2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2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2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2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2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2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2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2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2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2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2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2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2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2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2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2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2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2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2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2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2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2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2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2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2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2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2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2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2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2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2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2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2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2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2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2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2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2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2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2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2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2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2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2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2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2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2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2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2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2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2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2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2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2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2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2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2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2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2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2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2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2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2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2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2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2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2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2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2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2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2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2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2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2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2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2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2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2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2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2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2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2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2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2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2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2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2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2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2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2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2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2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2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2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2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2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2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2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2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2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2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2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2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2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2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2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2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2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2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2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2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2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2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2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2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2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2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2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2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2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2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2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2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2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2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2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2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2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2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2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2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2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2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2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2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2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2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2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2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2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2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2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2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2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2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2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2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2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2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2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2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2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2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2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2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2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2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2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2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2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2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2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2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2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2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2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2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2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2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2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2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2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2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2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2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2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2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2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2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2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2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2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2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2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2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2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2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2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2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2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2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2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2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2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2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2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2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2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2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2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2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2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2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2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2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2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2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2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2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2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2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2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2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2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2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2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2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2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2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2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2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2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2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2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2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2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2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2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2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2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2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2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2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2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2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2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2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2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2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2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2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2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2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2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2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2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2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2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2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2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2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2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2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2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2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2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2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2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2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2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2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2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2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2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2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2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2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2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2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2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2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2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2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2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2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2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2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2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2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2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2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2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2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2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2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2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2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2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2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2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2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2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2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2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2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2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2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2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2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2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2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2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2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2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2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2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2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2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2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2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2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2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2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2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2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2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2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2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2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2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2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2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2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2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2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2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2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2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2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2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2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2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2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2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2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2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2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2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2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2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2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2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2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2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2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2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2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2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2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2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2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2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2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2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2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2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2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2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2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2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2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2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2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2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2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2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2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2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2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2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2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2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2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2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2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2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2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2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2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2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2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2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2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2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2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2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2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2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2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2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2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2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2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2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2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2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2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2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2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2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2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2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2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2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2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2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2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2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2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2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2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2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2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2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2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2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2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2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2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2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2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2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2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2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2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2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2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2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2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2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2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2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2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2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2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2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2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2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2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2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2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2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2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2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2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2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2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2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2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2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2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2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2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2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2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2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2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2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2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2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2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2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2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2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2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2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2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2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2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2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2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2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2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2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2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2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2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2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2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2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2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2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2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2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2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2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2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2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2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2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2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2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2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2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2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2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2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2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2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2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2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2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2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2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2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2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2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2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2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2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2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2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2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2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2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2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2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2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2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2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2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2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2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2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2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2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2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2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2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2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2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2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2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2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2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2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2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2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2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2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2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2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2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2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2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2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2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2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2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2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2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2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2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2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2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2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2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2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2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2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2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2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2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2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2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2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2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2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2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2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2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2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2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2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2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2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2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2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2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2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2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2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2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2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2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2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2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2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2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2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2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2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2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2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2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2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2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2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2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2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2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2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2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2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2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2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2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2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2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2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2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2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2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2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2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2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2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2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2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2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2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2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2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2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2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2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2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2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2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2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2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2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2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2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2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2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2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2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2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2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2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2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2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2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2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2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2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2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2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2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2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2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2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2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2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2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2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2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2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2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2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2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2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2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2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2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2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2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2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2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2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2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2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2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2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2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2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2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2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2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2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2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2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2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2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2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2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2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2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2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2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2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2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2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2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2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2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2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2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2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2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2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2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2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2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2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2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2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2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2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2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2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2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2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2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2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2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2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2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2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2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2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2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2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2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2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2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2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2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2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2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2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2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2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2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2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2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2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2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2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2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2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2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2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2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2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2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2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2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2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2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2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2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2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2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2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2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2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2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2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2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2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2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2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2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2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2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2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2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2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2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2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2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2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2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2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2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2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2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2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2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2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2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2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2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2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2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2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2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2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2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2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2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2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2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2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2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2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2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2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2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2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2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2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2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2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2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2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2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2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2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2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2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2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2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2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2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2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2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2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2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2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2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2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2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2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2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2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2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2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2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2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2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2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2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2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2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2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2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2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2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2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2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2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2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2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2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2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2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2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2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2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2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2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2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2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2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2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2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2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2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2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2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2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2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2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2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2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2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2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2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2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2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2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2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2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2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2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2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2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2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2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2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2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2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2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2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2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2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2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2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2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2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2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2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2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2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2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2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2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2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2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2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2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2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2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2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2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2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2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2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2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2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2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2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2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2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2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2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2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2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2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2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2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2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2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2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2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2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2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2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2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2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2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2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2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2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2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2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2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2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2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2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2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2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2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2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2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2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2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2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2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2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2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2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2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2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2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2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2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2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2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2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2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2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2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2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2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2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2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2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2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2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2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2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2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2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2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2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2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2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2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2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2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2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2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2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2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2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2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2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2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2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2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2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2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2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2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2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2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2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2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2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2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2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2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2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2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2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2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2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2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2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2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2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2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2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2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2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2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2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2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2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2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2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2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2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2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2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2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2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2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2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2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2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2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2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2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2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2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2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2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2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2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2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2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2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2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2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2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2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2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2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2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2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2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2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2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2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2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2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2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2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2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2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2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2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2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2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2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2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2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2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2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2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2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2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2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2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2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2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2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2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2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2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2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2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2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2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2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2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2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2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2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2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2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2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2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2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2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2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2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2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2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2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2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2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2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2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4.4" x14ac:dyDescent="0.25"/>
  <cols>
    <col min="1" max="1" width="31.6640625" customWidth="1"/>
    <col min="6" max="6" width="9" customWidth="1"/>
    <col min="9" max="11" width="0" hidden="1" customWidth="1"/>
    <col min="12" max="12" width="9.44140625" hidden="1" customWidth="1"/>
    <col min="13" max="15" width="0" hidden="1" customWidth="1"/>
    <col min="16" max="21" width="0" style="4" hidden="1" customWidth="1"/>
    <col min="24" max="24" width="16.441406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2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2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2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2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2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2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2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2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2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2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2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2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4.4" x14ac:dyDescent="0.25"/>
  <cols>
    <col min="1" max="1" width="31.6640625" customWidth="1"/>
    <col min="6" max="6" width="9" customWidth="1"/>
    <col min="9" max="11" width="0" hidden="1" customWidth="1"/>
    <col min="12" max="12" width="9.44140625" hidden="1" customWidth="1"/>
    <col min="13" max="15" width="0" hidden="1" customWidth="1"/>
    <col min="16" max="21" width="0" style="4" hidden="1" customWidth="1"/>
    <col min="24" max="24" width="16.441406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2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2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2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2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2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2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2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2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2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2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2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2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2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2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2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2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2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2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2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2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2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2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2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2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2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2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2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2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2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2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2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2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2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2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2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2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2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2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2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2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2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2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2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2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2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2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2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2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2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4.4" x14ac:dyDescent="0.25"/>
  <cols>
    <col min="2" max="2" width="31.6640625" customWidth="1"/>
    <col min="4" max="4" width="9.21875" bestFit="1" customWidth="1"/>
    <col min="7" max="7" width="9" customWidth="1"/>
    <col min="10" max="12" width="0" hidden="1" customWidth="1"/>
    <col min="13" max="13" width="9.44140625" hidden="1" customWidth="1"/>
    <col min="14" max="16" width="0" hidden="1" customWidth="1"/>
    <col min="17" max="22" width="0" style="4" hidden="1" customWidth="1"/>
    <col min="25" max="25" width="16.44140625" bestFit="1" customWidth="1"/>
  </cols>
  <sheetData>
    <row r="1" spans="1:28" ht="13.5" x14ac:dyDescent="0.15">
      <c r="Y1" t="s">
        <v>8852</v>
      </c>
    </row>
    <row r="2" spans="1:28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2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2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2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2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2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2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2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2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2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2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2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2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2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2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2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2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2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2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2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2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2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2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2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2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2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2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2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2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2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2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2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2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2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2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2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2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2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2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2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2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2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2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2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2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2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2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2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2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2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2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2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2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2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2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4.4" x14ac:dyDescent="0.25"/>
  <cols>
    <col min="1" max="1" width="31.6640625" customWidth="1"/>
    <col min="3" max="3" width="9.21875" bestFit="1" customWidth="1"/>
    <col min="6" max="6" width="9" customWidth="1"/>
    <col min="9" max="11" width="0" hidden="1" customWidth="1"/>
    <col min="12" max="12" width="9.44140625" hidden="1" customWidth="1"/>
    <col min="13" max="15" width="0" hidden="1" customWidth="1"/>
    <col min="16" max="21" width="0" style="4" hidden="1" customWidth="1"/>
    <col min="24" max="24" width="16.441406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2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2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2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2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2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2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2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2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2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2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2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2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2016-01-15T15:49:57Z</dcterms:created>
  <dcterms:modified xsi:type="dcterms:W3CDTF">2017-10-02T02:32:21Z</dcterms:modified>
</cp:coreProperties>
</file>