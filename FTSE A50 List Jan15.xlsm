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<sst xmlns="http://schemas.openxmlformats.org/spreadsheetml/2006/main" count="119621" uniqueCount="9034">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</sst>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G3" sqref="G3:G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3.0000000000001803E-2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100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2.85</v>
      </c>
      <c r="H3" s="5">
        <f>IF(ISNA(VLOOKUP(B3,Sheet1!A:B,2,0)),0,VLOOKUP(B3,Sheet1!A:B,2,0))</f>
        <v>2.87</v>
      </c>
      <c r="I3">
        <f t="shared" ref="I3:I25" si="1">+H3-G3</f>
        <v>2.0000000000000018E-2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-4.5600000000000002E-2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2.0000000000000018E-2</v>
      </c>
      <c r="Y3" s="6" t="str">
        <f>+F3</f>
        <v>sh601288</v>
      </c>
      <c r="Z3" s="5">
        <f>H3</f>
        <v>2.87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2.31</v>
      </c>
      <c r="H4" s="5">
        <f>IF(ISNA(VLOOKUP(B4,Sheet1!A:B,2,0)),0,VLOOKUP(B4,Sheet1!A:B,2,0))</f>
        <v>2.29</v>
      </c>
      <c r="I4">
        <f t="shared" si="1"/>
        <v>-2.0000000000000018E-2</v>
      </c>
      <c r="M4" s="3"/>
      <c r="P4"/>
      <c r="Q4" s="1"/>
      <c r="R4" s="1"/>
      <c r="S4" s="1"/>
      <c r="T4" s="1"/>
      <c r="U4" s="1"/>
      <c r="V4" s="1">
        <f t="shared" ref="V4:V40" si="3">H4-G4</f>
        <v>-2.0000000000000018E-2</v>
      </c>
      <c r="Y4" s="6" t="str">
        <f t="shared" ref="Y4:Y52" si="4">+F4</f>
        <v>sh601169</v>
      </c>
      <c r="Z4" s="5">
        <f t="shared" ref="Z4:Z26" si="5">H4</f>
        <v>2.29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</v>
      </c>
      <c r="H5" s="5">
        <f>IF(ISNA(VLOOKUP(B5,Sheet1!A:B,2,0)),0,VLOOKUP(B5,Sheet1!A:B,2,0))</f>
        <v>1.8</v>
      </c>
      <c r="I5">
        <f t="shared" si="1"/>
        <v>0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-5.5079999999999997E-2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1.8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2.86</v>
      </c>
      <c r="H6" s="5">
        <f>IF(ISNA(VLOOKUP(B6,Sheet1!A:B,2,0)),0,VLOOKUP(B6,Sheet1!A:B,2,0))</f>
        <v>2.85</v>
      </c>
      <c r="I6">
        <f t="shared" si="1"/>
        <v>-9.9999999999997868E-3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-9.9242000000000011E-2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-9.9999999999997868E-3</v>
      </c>
      <c r="Y6" s="6" t="str">
        <f t="shared" si="4"/>
        <v>sh601328</v>
      </c>
      <c r="Z6" s="5">
        <f t="shared" si="5"/>
        <v>2.85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0.35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0.81</v>
      </c>
      <c r="H8" s="5">
        <f>IF(ISNA(VLOOKUP(B8,Sheet1!A:B,2,0)),0,VLOOKUP(B8,Sheet1!A:B,2,0))</f>
        <v>0.81</v>
      </c>
      <c r="M8" s="3"/>
      <c r="P8"/>
      <c r="Q8" s="1"/>
      <c r="R8" s="1"/>
      <c r="S8" s="1"/>
      <c r="T8" s="1"/>
      <c r="U8" s="1"/>
      <c r="V8" s="1">
        <f t="shared" si="3"/>
        <v>0</v>
      </c>
      <c r="Y8" s="6" t="str">
        <f t="shared" ref="Y8:Y9" si="11">+F8</f>
        <v>sh600019</v>
      </c>
      <c r="Z8" s="5">
        <f t="shared" ref="Z8:Z9" si="12">H8</f>
        <v>0.81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1.99</v>
      </c>
      <c r="H9" s="5">
        <f>IF(ISNA(VLOOKUP(B9,Sheet1!A:B,2,0)),0,VLOOKUP(B9,Sheet1!A:B,2,0))</f>
        <v>1.99</v>
      </c>
      <c r="M9" s="3"/>
      <c r="P9"/>
      <c r="Q9" s="1"/>
      <c r="R9" s="1"/>
      <c r="S9" s="1"/>
      <c r="T9" s="1"/>
      <c r="U9" s="1"/>
      <c r="V9" s="1">
        <f t="shared" si="3"/>
        <v>0</v>
      </c>
      <c r="Y9" s="6" t="str">
        <f t="shared" si="11"/>
        <v>sz000725</v>
      </c>
      <c r="Z9" s="5">
        <f t="shared" si="12"/>
        <v>1.99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0.64</v>
      </c>
      <c r="H10" s="5">
        <f>IF(ISNA(VLOOKUP(B10,Sheet1!A:B,2,0)),0,VLOOKUP(B10,Sheet1!A:B,2,0))</f>
        <v>0.63</v>
      </c>
      <c r="I10">
        <f t="shared" si="1"/>
        <v>-1.0000000000000009E-2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-1.9776000000000002E-2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-1.0000000000000009E-2</v>
      </c>
      <c r="Y10" s="6" t="str">
        <f t="shared" si="4"/>
        <v>sz002594</v>
      </c>
      <c r="Z10" s="5">
        <f t="shared" si="5"/>
        <v>0.63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0.4</v>
      </c>
      <c r="H11" s="5">
        <f>IF(ISNA(VLOOKUP(B11,Sheet1!A:B,2,0)),0,VLOOKUP(B11,Sheet1!A:B,2,0))</f>
        <v>0.4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-1.8360000000000001E-2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0.4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0.53</v>
      </c>
      <c r="H12" s="5">
        <f>IF(ISNA(VLOOKUP(B12,Sheet1!A:B,2,0)),0,VLOOKUP(B12,Sheet1!A:B,2,0))</f>
        <v>0.52</v>
      </c>
      <c r="I12">
        <f t="shared" si="1"/>
        <v>-1.0000000000000009E-2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-2.7400999999999998E-2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-1.0000000000000009E-2</v>
      </c>
      <c r="Y12" s="6" t="str">
        <f t="shared" si="4"/>
        <v>sh601800</v>
      </c>
      <c r="Z12" s="5">
        <f t="shared" si="5"/>
        <v>0.52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1.34</v>
      </c>
      <c r="H13" s="5">
        <f>IF(ISNA(VLOOKUP(B13,Sheet1!A:B,2,0)),0,VLOOKUP(B13,Sheet1!A:B,2,0))</f>
        <v>1.28</v>
      </c>
      <c r="I13">
        <f t="shared" si="1"/>
        <v>-6.0000000000000053E-2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-3.082E-2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-6.0000000000000053E-2</v>
      </c>
      <c r="Y13" s="6" t="str">
        <f t="shared" si="4"/>
        <v>sh601939</v>
      </c>
      <c r="Z13" s="5">
        <f t="shared" si="5"/>
        <v>1.28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1.31</v>
      </c>
      <c r="H14" s="5">
        <f>IF(ISNA(VLOOKUP(B14,Sheet1!A:B,2,0)),0,VLOOKUP(B14,Sheet1!A:B,2,0))</f>
        <v>1.31</v>
      </c>
      <c r="I14">
        <f t="shared" si="1"/>
        <v>0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-4.4409000000000004E-2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0</v>
      </c>
      <c r="Y14" s="6" t="str">
        <f t="shared" si="4"/>
        <v>sh601818</v>
      </c>
      <c r="Z14" s="5">
        <f t="shared" si="5"/>
        <v>1.31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</v>
      </c>
      <c r="H15" s="5">
        <f>IF(ISNA(VLOOKUP(B15,Sheet1!A:B,2,0)),0,VLOOKUP(B15,Sheet1!A:B,2,0))</f>
        <v>0.91</v>
      </c>
      <c r="I15">
        <f t="shared" si="1"/>
        <v>1.0000000000000009E-2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-1.7100000000000001E-2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1.0000000000000009E-2</v>
      </c>
      <c r="Y15" s="6" t="str">
        <f t="shared" si="4"/>
        <v>sh601628</v>
      </c>
      <c r="Z15" s="5">
        <f t="shared" si="5"/>
        <v>0.91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6.5</v>
      </c>
      <c r="H16" s="5">
        <f>IF(ISNA(VLOOKUP(B16,Sheet1!A:B,2,0)),0,VLOOKUP(B16,Sheet1!A:B,2,0))</f>
        <v>6.51</v>
      </c>
      <c r="I16">
        <f t="shared" si="1"/>
        <v>9.9999999999997868E-3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-0.16769999999999999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9.9999999999997868E-3</v>
      </c>
      <c r="Y16" s="6" t="str">
        <f t="shared" si="4"/>
        <v>sh600036</v>
      </c>
      <c r="Z16" s="5">
        <f t="shared" si="5"/>
        <v>6.51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1.03</v>
      </c>
      <c r="H17" s="5">
        <f>IF(ISNA(VLOOKUP(B17,Sheet1!A:B,2,0)),0,VLOOKUP(B17,Sheet1!A:B,2,0))</f>
        <v>1.02</v>
      </c>
      <c r="I17">
        <f t="shared" si="1"/>
        <v>-1.0000000000000009E-2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-1.0000000000000009E-2</v>
      </c>
      <c r="Y17" s="6" t="str">
        <f t="shared" si="4"/>
        <v>sz001979</v>
      </c>
      <c r="Z17" s="5">
        <f t="shared" si="5"/>
        <v>1.02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4.43</v>
      </c>
      <c r="H18" s="5">
        <f>IF(ISNA(VLOOKUP(B18,Sheet1!A:B,2,0)),0,VLOOKUP(B18,Sheet1!A:B,2,0))</f>
        <v>4.38</v>
      </c>
      <c r="I18">
        <f t="shared" si="1"/>
        <v>-4.9999999999999822E-2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-1.0631999999999999E-2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-4.9999999999999822E-2</v>
      </c>
      <c r="Y18" s="6" t="str">
        <f t="shared" si="4"/>
        <v>sh600016</v>
      </c>
      <c r="Z18" s="5">
        <f t="shared" si="5"/>
        <v>4.38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</v>
      </c>
      <c r="H19" s="5">
        <f>IF(ISNA(VLOOKUP(B19,Sheet1!A:B,2,0)),0,VLOOKUP(B19,Sheet1!A:B,2,0))</f>
        <v>0.7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-2.2399999999999996E-2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1.92</v>
      </c>
      <c r="H20" s="5">
        <f>IF(ISNA(VLOOKUP(B20,Sheet1!A:B,2,0)),0,VLOOKUP(B20,Sheet1!A:B,2,0))</f>
        <v>1.97</v>
      </c>
      <c r="I20">
        <f t="shared" si="1"/>
        <v>5.0000000000000044E-2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-3.3215999999999996E-2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5.0000000000000044E-2</v>
      </c>
      <c r="Y20" s="6" t="str">
        <f t="shared" si="4"/>
        <v>sh601601</v>
      </c>
      <c r="Z20" s="5">
        <f t="shared" si="5"/>
        <v>1.97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1.31</v>
      </c>
      <c r="H21" s="5">
        <f>IF(ISNA(VLOOKUP(B21,Sheet1!A:B,2,0)),0,VLOOKUP(B21,Sheet1!A:B,2,0))</f>
        <v>1.31</v>
      </c>
      <c r="I21">
        <f t="shared" si="1"/>
        <v>0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-5.0827999999999998E-2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0</v>
      </c>
      <c r="Y21" s="6" t="str">
        <f t="shared" si="4"/>
        <v>sh600028</v>
      </c>
      <c r="Z21" s="5">
        <f t="shared" si="5"/>
        <v>1.31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1.07</v>
      </c>
      <c r="H22" s="5">
        <f>IF(ISNA(VLOOKUP(B22,Sheet1!A:B,2,0)),0,VLOOKUP(B22,Sheet1!A:B,2,0))</f>
        <v>1.06</v>
      </c>
      <c r="I22">
        <f t="shared" si="1"/>
        <v>-1.0000000000000009E-2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-6.1631999999999999E-2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-1.0000000000000009E-2</v>
      </c>
      <c r="Y22" s="6" t="str">
        <f t="shared" si="4"/>
        <v>sh601186</v>
      </c>
      <c r="Z22" s="5">
        <f t="shared" si="5"/>
        <v>1.06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1.03</v>
      </c>
      <c r="I23">
        <f t="shared" si="1"/>
        <v>-1.0000000000000009E-2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-1.0000000000000009E-2</v>
      </c>
      <c r="Y23" s="6" t="str">
        <f t="shared" si="4"/>
        <v>sh601390</v>
      </c>
      <c r="Z23" s="5">
        <f t="shared" si="5"/>
        <v>1.03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1.03</v>
      </c>
      <c r="H24" s="5">
        <f>IF(ISNA(VLOOKUP(B24,Sheet1!A:B,2,0)),0,VLOOKUP(B24,Sheet1!A:B,2,0))</f>
        <v>1.02</v>
      </c>
      <c r="I24">
        <f t="shared" si="1"/>
        <v>-1.0000000000000009E-2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-3.9037000000000002E-2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-1.0000000000000009E-2</v>
      </c>
      <c r="Y24" s="6" t="str">
        <f t="shared" si="4"/>
        <v>sh601088</v>
      </c>
      <c r="Z24" s="5">
        <f t="shared" si="5"/>
        <v>1.02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1.27</v>
      </c>
      <c r="H25" s="5">
        <f>IF(ISNA(VLOOKUP(B25,Sheet1!A:B,2,0)),0,VLOOKUP(B25,Sheet1!A:B,2,0))</f>
        <v>1.27</v>
      </c>
      <c r="I25">
        <f t="shared" si="1"/>
        <v>0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 t="shared" si="4"/>
        <v>sh601989</v>
      </c>
      <c r="Z25" s="5">
        <f t="shared" si="5"/>
        <v>1.27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2.71</v>
      </c>
      <c r="H26" s="5">
        <f>IF(ISNA(VLOOKUP(B26,Sheet1!A:B,2,0)),0,VLOOKUP(B26,Sheet1!A:B,2,0))</f>
        <v>2.69</v>
      </c>
      <c r="I26">
        <f t="shared" ref="I26:I52" si="16">+H26-G26</f>
        <v>-2.0000000000000018E-2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-0.12953800000000001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-2.0000000000000018E-2</v>
      </c>
      <c r="Y26" s="6" t="str">
        <f t="shared" si="4"/>
        <v>sh601668</v>
      </c>
      <c r="Z26" s="5">
        <f t="shared" si="5"/>
        <v>2.69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1.32</v>
      </c>
      <c r="H27" s="5">
        <f>IF(ISNA(VLOOKUP(B27,Sheet1!A:B,2,0)),0,VLOOKUP(B27,Sheet1!A:B,2,0))</f>
        <v>1.32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-7.6427999999999996E-2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1.32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1.38</v>
      </c>
      <c r="H28" s="5">
        <f>IF(ISNA(VLOOKUP(B28,Sheet1!A:B,2,0)),0,VLOOKUP(B28,Sheet1!A:B,2,0))</f>
        <v>1.41</v>
      </c>
      <c r="I28">
        <f t="shared" si="16"/>
        <v>3.0000000000000027E-2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-2.3597999999999997E-2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3.0000000000000027E-2</v>
      </c>
      <c r="Y28" s="6" t="str">
        <f t="shared" si="4"/>
        <v>sh600900</v>
      </c>
      <c r="Z28" s="5">
        <f t="shared" ref="Z28:Z52" si="19">H28</f>
        <v>1.41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3.09</v>
      </c>
      <c r="H29" s="5">
        <f>IF(ISNA(VLOOKUP(B29,Sheet1!A:B,2,0)),0,VLOOKUP(B29,Sheet1!A:B,2,0))</f>
        <v>3.06</v>
      </c>
      <c r="I29">
        <f t="shared" si="16"/>
        <v>-2.9999999999999805E-2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-2.9999999999999805E-2</v>
      </c>
      <c r="Y29" s="6" t="str">
        <f t="shared" si="4"/>
        <v>sh600030</v>
      </c>
      <c r="Z29" s="5">
        <f t="shared" si="19"/>
        <v>3.06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1.93</v>
      </c>
      <c r="H30" s="5">
        <f>IF(ISNA(VLOOKUP(B30,Sheet1!A:B,2,0)),0,VLOOKUP(B30,Sheet1!A:B,2,0))</f>
        <v>1.94</v>
      </c>
      <c r="I30">
        <f t="shared" si="16"/>
        <v>1.0000000000000009E-2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-8.3182999999999993E-2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1.0000000000000009E-2</v>
      </c>
      <c r="Y30" s="6" t="str">
        <f t="shared" si="4"/>
        <v>sh601766</v>
      </c>
      <c r="Z30" s="5">
        <f t="shared" si="19"/>
        <v>1.94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1.27</v>
      </c>
      <c r="H31" s="5">
        <f>IF(ISNA(VLOOKUP(B31,Sheet1!A:B,2,0)),0,VLOOKUP(B31,Sheet1!A:B,2,0))</f>
        <v>1.27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-7.6200000000000009E-4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1.27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0.33</v>
      </c>
      <c r="H33" s="5">
        <f>IF(ISNA(VLOOKUP(B33,Sheet1!A:B,2,0)),0,VLOOKUP(B33,Sheet1!A:B,2,0))</f>
        <v>0.32</v>
      </c>
      <c r="I33">
        <f t="shared" si="16"/>
        <v>-1.0000000000000009E-2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-1.5279000000000001E-2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-1.0000000000000009E-2</v>
      </c>
      <c r="Y33" s="6" t="str">
        <f t="shared" si="4"/>
        <v>sh601238</v>
      </c>
      <c r="Z33" s="5">
        <f t="shared" si="19"/>
        <v>0.32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1.57</v>
      </c>
      <c r="H34" s="5">
        <f>IF(ISNA(VLOOKUP(B34,Sheet1!A:B,2,0)),0,VLOOKUP(B34,Sheet1!A:B,2,0))</f>
        <v>1.57</v>
      </c>
      <c r="I34">
        <f t="shared" si="16"/>
        <v>0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-6.6253999999999993E-2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9"/>
        <v>1.57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</v>
      </c>
      <c r="H35" s="5">
        <f>IF(ISNA(VLOOKUP(B35,Sheet1!A:B,2,0)),0,VLOOKUP(B35,Sheet1!A:B,2,0))</f>
        <v>2.06</v>
      </c>
      <c r="I35">
        <f t="shared" si="16"/>
        <v>0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9"/>
        <v>2.06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2.0099999999999998</v>
      </c>
      <c r="H36" s="5">
        <f>IF(ISNA(VLOOKUP(B36,Sheet1!A:B,2,0)),0,VLOOKUP(B36,Sheet1!A:B,2,0))</f>
        <v>2.0699999999999998</v>
      </c>
      <c r="I36">
        <f t="shared" si="16"/>
        <v>6.0000000000000053E-2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-7.3163999999999993E-2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6.0000000000000053E-2</v>
      </c>
      <c r="Y36" s="6" t="str">
        <f t="shared" si="4"/>
        <v>sz002415</v>
      </c>
      <c r="Z36" s="5">
        <f t="shared" si="19"/>
        <v>2.0699999999999998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1.0900000000000001</v>
      </c>
      <c r="H37" s="5">
        <f>IF(ISNA(VLOOKUP(B37,Sheet1!A:B,2,0)),0,VLOOKUP(B37,Sheet1!A:B,2,0))</f>
        <v>1.08</v>
      </c>
      <c r="I37">
        <f t="shared" si="16"/>
        <v>-1.0000000000000009E-2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-4.0003000000000004E-2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-1.0000000000000009E-2</v>
      </c>
      <c r="Y37" s="6" t="str">
        <f t="shared" si="4"/>
        <v>sh601688</v>
      </c>
      <c r="Z37" s="5">
        <f t="shared" si="19"/>
        <v>1.08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2.54</v>
      </c>
      <c r="H38" s="5">
        <f>IF(ISNA(VLOOKUP(B38,Sheet1!A:B,2,0)),0,VLOOKUP(B38,Sheet1!A:B,2,0))</f>
        <v>2.62</v>
      </c>
      <c r="I38">
        <f t="shared" si="16"/>
        <v>8.0000000000000071E-2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-4.7244000000000001E-2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8.0000000000000071E-2</v>
      </c>
      <c r="Y38" s="6" t="str">
        <f t="shared" si="4"/>
        <v>sh601398</v>
      </c>
      <c r="Z38" s="5">
        <f t="shared" si="19"/>
        <v>2.62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5.42</v>
      </c>
      <c r="H39" s="5">
        <f>IF(ISNA(VLOOKUP(B39,Sheet1!A:B,2,0)),0,VLOOKUP(B39,Sheet1!A:B,2,0))</f>
        <v>5.4</v>
      </c>
      <c r="I39">
        <f t="shared" si="16"/>
        <v>-1.9999999999999574E-2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-1.9999999999999574E-2</v>
      </c>
      <c r="Y39" s="6" t="str">
        <f t="shared" si="4"/>
        <v>sh601166</v>
      </c>
      <c r="Z39" s="5">
        <f t="shared" si="19"/>
        <v>5.4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</v>
      </c>
      <c r="H40" s="5">
        <f>IF(ISNA(VLOOKUP(B40,Sheet1!A:B,2,0)),0,VLOOKUP(B40,Sheet1!A:B,2,0))</f>
        <v>1.41</v>
      </c>
      <c r="M40" s="3"/>
      <c r="P40"/>
      <c r="Q40" s="1"/>
      <c r="R40" s="1"/>
      <c r="S40" s="1"/>
      <c r="T40" s="1"/>
      <c r="U40" s="1"/>
      <c r="V40" s="1">
        <f t="shared" si="3"/>
        <v>1.0000000000000009E-2</v>
      </c>
      <c r="Y40" s="6" t="str">
        <f t="shared" ref="Y40" si="21">+F40</f>
        <v>sh600276</v>
      </c>
      <c r="Z40" s="5">
        <f t="shared" ref="Z40" si="22">H40</f>
        <v>1.41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0.9</v>
      </c>
      <c r="H41" s="5">
        <f>IF(ISNA(VLOOKUP(B41,Sheet1!A:B,2,0)),0,VLOOKUP(B41,Sheet1!A:B,2,0))</f>
        <v>0.89</v>
      </c>
      <c r="I41">
        <f t="shared" si="16"/>
        <v>-1.0000000000000009E-2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-1.89E-2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-1.0000000000000009E-2</v>
      </c>
      <c r="Y41" s="6" t="str">
        <f t="shared" si="4"/>
        <v>sz002304</v>
      </c>
      <c r="Z41" s="5">
        <f t="shared" si="19"/>
        <v>0.89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4.88</v>
      </c>
      <c r="H42" s="5">
        <f>IF(ISNA(VLOOKUP(B42,Sheet1!A:B,2,0)),0,VLOOKUP(B42,Sheet1!A:B,2,0))</f>
        <v>4.83</v>
      </c>
      <c r="I42">
        <f t="shared" si="16"/>
        <v>-4.9999999999999822E-2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-0.13859199999999999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-4.9999999999999822E-2</v>
      </c>
      <c r="Y42" s="6" t="str">
        <f t="shared" si="4"/>
        <v>sh600519</v>
      </c>
      <c r="Z42" s="5">
        <f t="shared" si="19"/>
        <v>4.83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3.51</v>
      </c>
      <c r="H43" s="5">
        <f>IF(ISNA(VLOOKUP(B43,Sheet1!A:B,2,0)),0,VLOOKUP(B43,Sheet1!A:B,2,0))</f>
        <v>3.52</v>
      </c>
      <c r="I43">
        <f t="shared" si="16"/>
        <v>1.0000000000000231E-2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-0.14355899999999999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1.0000000000000231E-2</v>
      </c>
      <c r="Y43" s="6" t="str">
        <f t="shared" si="4"/>
        <v>sz000333</v>
      </c>
      <c r="Z43" s="5">
        <f t="shared" si="19"/>
        <v>3.52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0.66</v>
      </c>
      <c r="H44" s="5">
        <f>IF(ISNA(VLOOKUP(B44,Sheet1!A:B,2,0)),0,VLOOKUP(B44,Sheet1!A:B,2,0))</f>
        <v>0.67</v>
      </c>
      <c r="I44">
        <f t="shared" si="16"/>
        <v>1.0000000000000009E-2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1.0000000000000009E-2</v>
      </c>
      <c r="Y44" s="6" t="str">
        <f t="shared" si="4"/>
        <v>sh601336</v>
      </c>
      <c r="Z44" s="5">
        <f t="shared" si="19"/>
        <v>0.67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0.72</v>
      </c>
      <c r="H45" s="5">
        <f>IF(ISNA(VLOOKUP(B45,Sheet1!A:B,2,0)),0,VLOOKUP(B45,Sheet1!A:B,2,0))</f>
        <v>0.72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-2.7359999999999999E-2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0.72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1.58</v>
      </c>
      <c r="H46" s="5">
        <f>IF(ISNA(VLOOKUP(B46,Sheet1!A:B,2,0)),0,VLOOKUP(B46,Sheet1!A:B,2,0))</f>
        <v>1.57</v>
      </c>
      <c r="I46">
        <f t="shared" si="16"/>
        <v>-1.0000000000000009E-2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-4.5503999999999996E-2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-1.0000000000000009E-2</v>
      </c>
      <c r="Y46" s="6" t="str">
        <f t="shared" si="4"/>
        <v>sz000001</v>
      </c>
      <c r="Z46" s="5">
        <f t="shared" si="19"/>
        <v>1.57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10.4</v>
      </c>
      <c r="H47" s="5">
        <f>IF(ISNA(VLOOKUP(B47,Sheet1!A:B,2,0)),0,VLOOKUP(B47,Sheet1!A:B,2,0))</f>
        <v>10.57</v>
      </c>
      <c r="I47">
        <f t="shared" si="16"/>
        <v>0.16999999999999993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0.16999999999999993</v>
      </c>
      <c r="Y47" s="6" t="str">
        <f t="shared" si="4"/>
        <v>sh601318</v>
      </c>
      <c r="Z47" s="5">
        <f t="shared" si="19"/>
        <v>10.57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1.36</v>
      </c>
      <c r="H48" s="5">
        <f>IF(ISNA(VLOOKUP(B48,Sheet1!A:B,2,0)),0,VLOOKUP(B48,Sheet1!A:B,2,0))</f>
        <v>1.35</v>
      </c>
      <c r="I48">
        <f t="shared" si="16"/>
        <v>-1.0000000000000009E-2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-8.1872E-2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-1.0000000000000009E-2</v>
      </c>
      <c r="Y48" s="6" t="str">
        <f t="shared" si="4"/>
        <v>sh600048</v>
      </c>
      <c r="Z48" s="5">
        <f t="shared" si="19"/>
        <v>1.35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1.69</v>
      </c>
      <c r="H49" s="5">
        <f>IF(ISNA(VLOOKUP(B49,Sheet1!A:B,2,0)),0,VLOOKUP(B49,Sheet1!A:B,2,0))</f>
        <v>1.69</v>
      </c>
      <c r="I49">
        <f t="shared" si="16"/>
        <v>0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-1.1998999999999999E-2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0</v>
      </c>
      <c r="Y49" s="6" t="str">
        <f t="shared" si="4"/>
        <v>sh600104</v>
      </c>
      <c r="Z49" s="5">
        <f t="shared" si="19"/>
        <v>1.69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0.44</v>
      </c>
      <c r="H50" s="5">
        <f>IF(ISNA(VLOOKUP(B50,Sheet1!A:B,2,0)),0,VLOOKUP(B50,Sheet1!A:B,2,0))</f>
        <v>0.44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-2.5872000000000003E-2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0.44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4.09</v>
      </c>
      <c r="H51" s="5">
        <f>IF(ISNA(VLOOKUP(B51,Sheet1!A:B,2,0)),0,VLOOKUP(B51,Sheet1!A:B,2,0))</f>
        <v>4.03</v>
      </c>
      <c r="I51">
        <f t="shared" si="16"/>
        <v>-5.9999999999999609E-2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-7.7709999999999987E-2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-5.9999999999999609E-2</v>
      </c>
      <c r="Y51" s="6" t="str">
        <f t="shared" si="4"/>
        <v>sh600000</v>
      </c>
      <c r="Z51" s="5">
        <f t="shared" si="19"/>
        <v>4.03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2.23</v>
      </c>
      <c r="H52" s="5">
        <f>IF(ISNA(VLOOKUP(B52,Sheet1!A:B,2,0)),0,VLOOKUP(B52,Sheet1!A:B,2,0))</f>
        <v>2.2200000000000002</v>
      </c>
      <c r="I52">
        <f t="shared" si="16"/>
        <v>-9.9999999999997868E-3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-6.4224000000000003E-2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-9.9999999999997868E-3</v>
      </c>
      <c r="Y52" s="6" t="str">
        <f t="shared" si="4"/>
        <v>sz000858</v>
      </c>
      <c r="Z52" s="5">
        <f t="shared" si="19"/>
        <v>2.2200000000000002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2.87</v>
      </c>
      <c r="C2" s="4">
        <f>VLOOKUP(A2,Current!B:H,7,0)</f>
        <v>2.87</v>
      </c>
    </row>
    <row r="3" spans="1:3" x14ac:dyDescent="0.15">
      <c r="A3" s="10" t="s">
        <v>8952</v>
      </c>
      <c r="B3" s="11">
        <v>1.97</v>
      </c>
      <c r="C3" s="4">
        <f>VLOOKUP(A3,Current!B:H,7,0)</f>
        <v>1.97</v>
      </c>
    </row>
    <row r="4" spans="1:3" x14ac:dyDescent="0.15">
      <c r="A4" s="10" t="s">
        <v>8992</v>
      </c>
      <c r="B4" s="11">
        <v>2.62</v>
      </c>
      <c r="C4" s="4">
        <f>VLOOKUP(A4,Current!B:H,7,0)</f>
        <v>2.62</v>
      </c>
    </row>
    <row r="5" spans="1:3" x14ac:dyDescent="0.15">
      <c r="A5" s="10" t="s">
        <v>8973</v>
      </c>
      <c r="B5" s="11">
        <v>2.29</v>
      </c>
      <c r="C5" s="4">
        <f>VLOOKUP(A5,Current!B:H,7,0)</f>
        <v>2.29</v>
      </c>
    </row>
    <row r="6" spans="1:3" x14ac:dyDescent="0.15">
      <c r="A6" s="10" t="s">
        <v>8953</v>
      </c>
      <c r="B6" s="11">
        <v>1.31</v>
      </c>
      <c r="C6" s="4">
        <f>VLOOKUP(A6,Current!B:H,7,0)</f>
        <v>1.31</v>
      </c>
    </row>
    <row r="7" spans="1:3" x14ac:dyDescent="0.15">
      <c r="A7" s="10" t="s">
        <v>8962</v>
      </c>
      <c r="B7" s="11">
        <v>5.4</v>
      </c>
      <c r="C7" s="4">
        <f>VLOOKUP(A7,Current!B:H,7,0)</f>
        <v>5.4</v>
      </c>
    </row>
    <row r="8" spans="1:3" x14ac:dyDescent="0.15">
      <c r="A8" s="10" t="s">
        <v>8944</v>
      </c>
      <c r="B8" s="11">
        <v>1.8</v>
      </c>
      <c r="C8" s="4">
        <f>VLOOKUP(A8,Current!B:H,7,0)</f>
        <v>1.8</v>
      </c>
    </row>
    <row r="9" spans="1:3" x14ac:dyDescent="0.15">
      <c r="A9" s="10" t="s">
        <v>8954</v>
      </c>
      <c r="B9" s="11">
        <v>1.06</v>
      </c>
      <c r="C9" s="4">
        <f>VLOOKUP(A9,Current!B:H,7,0)</f>
        <v>1.06</v>
      </c>
    </row>
    <row r="10" spans="1:3" x14ac:dyDescent="0.15">
      <c r="A10" s="10" t="s">
        <v>9020</v>
      </c>
      <c r="B10" s="11">
        <v>1.41</v>
      </c>
      <c r="C10" s="4">
        <f>VLOOKUP(A10,Current!B:H,7,0)</f>
        <v>1.41</v>
      </c>
    </row>
    <row r="11" spans="1:3" x14ac:dyDescent="0.15">
      <c r="A11" s="10" t="s">
        <v>8975</v>
      </c>
      <c r="B11" s="11">
        <v>2.85</v>
      </c>
      <c r="C11" s="4">
        <f>VLOOKUP(A11,Current!B:H,7,0)</f>
        <v>2.85</v>
      </c>
    </row>
    <row r="12" spans="1:3" x14ac:dyDescent="0.15">
      <c r="A12" s="10" t="s">
        <v>8955</v>
      </c>
      <c r="B12" s="11">
        <v>1.03</v>
      </c>
      <c r="C12" s="4">
        <f>VLOOKUP(A12,Current!B:H,7,0)</f>
        <v>1.03</v>
      </c>
    </row>
    <row r="13" spans="1:3" x14ac:dyDescent="0.15">
      <c r="A13" s="10" t="s">
        <v>8974</v>
      </c>
      <c r="B13" s="11">
        <v>0.89</v>
      </c>
      <c r="C13" s="4">
        <f>VLOOKUP(A13,Current!B:H,7,0)</f>
        <v>0.89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1.02</v>
      </c>
      <c r="C15" s="4">
        <f>VLOOKUP(A15,Current!B:H,7,0)</f>
        <v>1.02</v>
      </c>
    </row>
    <row r="16" spans="1:3" x14ac:dyDescent="0.15">
      <c r="A16" s="10" t="s">
        <v>8963</v>
      </c>
      <c r="B16" s="11">
        <v>4.83</v>
      </c>
      <c r="C16" s="4">
        <f>VLOOKUP(A16,Current!B:H,7,0)</f>
        <v>4.83</v>
      </c>
    </row>
    <row r="17" spans="1:4" x14ac:dyDescent="0.15">
      <c r="A17" s="10" t="s">
        <v>9021</v>
      </c>
      <c r="B17" s="11">
        <v>0.81</v>
      </c>
      <c r="C17" s="4">
        <f>VLOOKUP(A17,Current!B:H,7,0)</f>
        <v>0.81</v>
      </c>
      <c r="D17" s="4" t="s">
        <v>9032</v>
      </c>
    </row>
    <row r="18" spans="1:4" x14ac:dyDescent="0.15">
      <c r="A18" s="10" t="s">
        <v>8957</v>
      </c>
      <c r="B18" s="11">
        <v>1.27</v>
      </c>
      <c r="C18" s="4">
        <f>VLOOKUP(A18,Current!B:H,7,0)</f>
        <v>1.27</v>
      </c>
    </row>
    <row r="19" spans="1:4" x14ac:dyDescent="0.15">
      <c r="A19" s="10" t="s">
        <v>8964</v>
      </c>
      <c r="B19" s="11">
        <v>3.52</v>
      </c>
      <c r="C19" s="4">
        <f>VLOOKUP(A19,Current!B:H,7,0)</f>
        <v>3.52</v>
      </c>
    </row>
    <row r="20" spans="1:4" x14ac:dyDescent="0.15">
      <c r="A20" s="10" t="s">
        <v>9022</v>
      </c>
      <c r="B20" s="11">
        <v>1.99</v>
      </c>
      <c r="C20" s="4">
        <f>VLOOKUP(A20,Current!B:H,7,0)</f>
        <v>1.99</v>
      </c>
      <c r="D20" s="4" t="s">
        <v>9033</v>
      </c>
    </row>
    <row r="21" spans="1:4" x14ac:dyDescent="0.15">
      <c r="A21" s="10" t="s">
        <v>8958</v>
      </c>
      <c r="B21" s="11">
        <v>2.69</v>
      </c>
      <c r="C21" s="4">
        <f>VLOOKUP(A21,Current!B:H,7,0)</f>
        <v>2.69</v>
      </c>
    </row>
    <row r="22" spans="1:4" x14ac:dyDescent="0.15">
      <c r="A22" s="10" t="s">
        <v>8965</v>
      </c>
      <c r="B22" s="11">
        <v>0.67</v>
      </c>
      <c r="C22" s="4">
        <f>VLOOKUP(A22,Current!B:H,7,0)</f>
        <v>0.67</v>
      </c>
    </row>
    <row r="23" spans="1:4" x14ac:dyDescent="0.15">
      <c r="A23" s="10" t="s">
        <v>8945</v>
      </c>
      <c r="B23" s="11">
        <v>0.63</v>
      </c>
      <c r="C23" s="4">
        <f>VLOOKUP(A23,Current!B:H,7,0)</f>
        <v>0.63</v>
      </c>
    </row>
    <row r="24" spans="1:4" x14ac:dyDescent="0.15">
      <c r="A24" s="10" t="s">
        <v>9014</v>
      </c>
      <c r="B24" s="11">
        <v>1.32</v>
      </c>
      <c r="C24" s="4">
        <f>VLOOKUP(A24,Current!B:H,7,0)</f>
        <v>1.32</v>
      </c>
    </row>
    <row r="25" spans="1:4" x14ac:dyDescent="0.15">
      <c r="A25" s="10" t="s">
        <v>8966</v>
      </c>
      <c r="B25" s="11">
        <v>0.72</v>
      </c>
      <c r="C25" s="4">
        <f>VLOOKUP(A25,Current!B:H,7,0)</f>
        <v>0.72</v>
      </c>
    </row>
    <row r="26" spans="1:4" x14ac:dyDescent="0.15">
      <c r="A26" s="10" t="s">
        <v>8946</v>
      </c>
      <c r="B26" s="11">
        <v>0.4</v>
      </c>
      <c r="C26" s="4">
        <f>VLOOKUP(A26,Current!B:H,7,0)</f>
        <v>0.4</v>
      </c>
    </row>
    <row r="27" spans="1:4" x14ac:dyDescent="0.15">
      <c r="A27" s="10" t="s">
        <v>8976</v>
      </c>
      <c r="B27" s="11">
        <v>1.41</v>
      </c>
      <c r="C27" s="4">
        <f>VLOOKUP(A27,Current!B:H,7,0)</f>
        <v>1.41</v>
      </c>
    </row>
    <row r="28" spans="1:4" x14ac:dyDescent="0.15">
      <c r="A28" s="10" t="s">
        <v>8967</v>
      </c>
      <c r="B28" s="11">
        <v>1.57</v>
      </c>
      <c r="C28" s="4">
        <f>VLOOKUP(A28,Current!B:H,7,0)</f>
        <v>1.57</v>
      </c>
    </row>
    <row r="29" spans="1:4" x14ac:dyDescent="0.15">
      <c r="A29" s="10" t="s">
        <v>8978</v>
      </c>
      <c r="B29" s="11">
        <v>0.52</v>
      </c>
      <c r="C29" s="4">
        <f>VLOOKUP(A29,Current!B:H,7,0)</f>
        <v>0.52</v>
      </c>
    </row>
    <row r="30" spans="1:4" x14ac:dyDescent="0.15">
      <c r="A30" s="10" t="s">
        <v>8977</v>
      </c>
      <c r="B30" s="11">
        <v>3.06</v>
      </c>
      <c r="C30" s="4">
        <f>VLOOKUP(A30,Current!B:H,7,0)</f>
        <v>3.06</v>
      </c>
    </row>
    <row r="31" spans="1:4" x14ac:dyDescent="0.15">
      <c r="A31" s="10" t="s">
        <v>8940</v>
      </c>
      <c r="B31" s="11">
        <v>10.57</v>
      </c>
      <c r="C31" s="4">
        <f>VLOOKUP(A31,Current!B:H,7,0)</f>
        <v>10.57</v>
      </c>
    </row>
    <row r="32" spans="1:4" x14ac:dyDescent="0.15">
      <c r="A32" s="10" t="s">
        <v>8947</v>
      </c>
      <c r="B32" s="11">
        <v>1.28</v>
      </c>
      <c r="C32" s="4">
        <f>VLOOKUP(A32,Current!B:H,7,0)</f>
        <v>1.28</v>
      </c>
    </row>
    <row r="33" spans="1:3" x14ac:dyDescent="0.15">
      <c r="A33" s="10" t="s">
        <v>8959</v>
      </c>
      <c r="B33" s="11">
        <v>1.94</v>
      </c>
      <c r="C33" s="4">
        <f>VLOOKUP(A33,Current!B:H,7,0)</f>
        <v>1.94</v>
      </c>
    </row>
    <row r="34" spans="1:3" x14ac:dyDescent="0.15">
      <c r="A34" s="10" t="s">
        <v>8948</v>
      </c>
      <c r="B34" s="11">
        <v>1.31</v>
      </c>
      <c r="C34" s="4">
        <f>VLOOKUP(A34,Current!B:H,7,0)</f>
        <v>1.31</v>
      </c>
    </row>
    <row r="35" spans="1:3" x14ac:dyDescent="0.15">
      <c r="A35" s="10" t="s">
        <v>8979</v>
      </c>
      <c r="B35" s="11">
        <v>1.27</v>
      </c>
      <c r="C35" s="4">
        <f>VLOOKUP(A35,Current!B:H,7,0)</f>
        <v>1.27</v>
      </c>
    </row>
    <row r="36" spans="1:3" x14ac:dyDescent="0.15">
      <c r="A36" s="10" t="s">
        <v>8980</v>
      </c>
      <c r="B36" s="11">
        <v>1.35</v>
      </c>
      <c r="C36" s="4">
        <f>VLOOKUP(A36,Current!B:H,7,0)</f>
        <v>1.35</v>
      </c>
    </row>
    <row r="37" spans="1:3" x14ac:dyDescent="0.15">
      <c r="A37" s="10" t="s">
        <v>8949</v>
      </c>
      <c r="B37" s="11">
        <v>0.91</v>
      </c>
      <c r="C37" s="4">
        <f>VLOOKUP(A37,Current!B:H,7,0)</f>
        <v>0.91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1.69</v>
      </c>
      <c r="C39" s="4">
        <f>VLOOKUP(A39,Current!B:H,7,0)</f>
        <v>1.69</v>
      </c>
    </row>
    <row r="40" spans="1:3" x14ac:dyDescent="0.15">
      <c r="A40" s="10" t="s">
        <v>8950</v>
      </c>
      <c r="B40" s="11">
        <v>6.51</v>
      </c>
      <c r="C40" s="4">
        <f>VLOOKUP(A40,Current!B:H,7,0)</f>
        <v>6.51</v>
      </c>
    </row>
    <row r="41" spans="1:3" x14ac:dyDescent="0.15">
      <c r="A41" s="10" t="s">
        <v>8983</v>
      </c>
      <c r="B41" s="11">
        <v>0.32</v>
      </c>
      <c r="C41" s="4">
        <f>VLOOKUP(A41,Current!B:H,7,0)</f>
        <v>0.32</v>
      </c>
    </row>
    <row r="42" spans="1:3" x14ac:dyDescent="0.15">
      <c r="A42" s="10" t="s">
        <v>8984</v>
      </c>
      <c r="B42" s="11">
        <v>0.44</v>
      </c>
      <c r="C42" s="4">
        <f>VLOOKUP(A42,Current!B:H,7,0)</f>
        <v>0.44</v>
      </c>
    </row>
    <row r="43" spans="1:3" x14ac:dyDescent="0.15">
      <c r="A43" s="10" t="s">
        <v>8941</v>
      </c>
      <c r="B43" s="11">
        <v>1.02</v>
      </c>
      <c r="C43" s="4">
        <f>VLOOKUP(A43,Current!B:H,7,0)</f>
        <v>1.02</v>
      </c>
    </row>
    <row r="44" spans="1:3" x14ac:dyDescent="0.15">
      <c r="A44" s="10" t="s">
        <v>8986</v>
      </c>
      <c r="B44" s="11">
        <v>1.57</v>
      </c>
      <c r="C44" s="4">
        <f>VLOOKUP(A44,Current!B:H,7,0)</f>
        <v>1.57</v>
      </c>
    </row>
    <row r="45" spans="1:3" x14ac:dyDescent="0.15">
      <c r="A45" s="10" t="s">
        <v>8968</v>
      </c>
      <c r="B45" s="11">
        <v>4.03</v>
      </c>
      <c r="C45" s="4">
        <f>VLOOKUP(A45,Current!B:H,7,0)</f>
        <v>4.03</v>
      </c>
    </row>
    <row r="46" spans="1:3" x14ac:dyDescent="0.15">
      <c r="A46" s="10" t="s">
        <v>8988</v>
      </c>
      <c r="B46" s="11">
        <v>2.06</v>
      </c>
      <c r="C46" s="4">
        <f>VLOOKUP(A46,Current!B:H,7,0)</f>
        <v>2.06</v>
      </c>
    </row>
    <row r="47" spans="1:3" x14ac:dyDescent="0.15">
      <c r="A47" s="10" t="s">
        <v>8990</v>
      </c>
      <c r="B47" s="11">
        <v>2.2200000000000002</v>
      </c>
      <c r="C47" s="4">
        <f>VLOOKUP(A47,Current!B:H,7,0)</f>
        <v>2.2200000000000002</v>
      </c>
    </row>
    <row r="48" spans="1:3" x14ac:dyDescent="0.15">
      <c r="A48" s="10" t="s">
        <v>8951</v>
      </c>
      <c r="B48" s="11">
        <v>4.38</v>
      </c>
      <c r="C48" s="4">
        <f>VLOOKUP(A48,Current!B:H,7,0)</f>
        <v>4.38</v>
      </c>
    </row>
    <row r="49" spans="1:3" x14ac:dyDescent="0.15">
      <c r="A49" s="10" t="s">
        <v>8989</v>
      </c>
      <c r="B49" s="11">
        <v>2.0699999999999998</v>
      </c>
      <c r="C49" s="4">
        <f>VLOOKUP(A49,Current!B:H,7,0)</f>
        <v>2.0699999999999998</v>
      </c>
    </row>
    <row r="50" spans="1:3" x14ac:dyDescent="0.15">
      <c r="A50" s="10" t="s">
        <v>8987</v>
      </c>
      <c r="B50" s="11">
        <v>0.7</v>
      </c>
      <c r="C50" s="4">
        <f>VLOOKUP(A50,Current!B:H,7,0)</f>
        <v>0.7</v>
      </c>
    </row>
    <row r="51" spans="1:3" x14ac:dyDescent="0.15">
      <c r="A51" s="10" t="s">
        <v>8991</v>
      </c>
      <c r="B51" s="11">
        <v>1.08</v>
      </c>
      <c r="C51" s="4">
        <f>VLOOKUP(A51,Current!B:H,7,0)</f>
        <v>1.08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2017-07-03T00:47:44Z</dcterms:modified>
</cp:coreProperties>
</file>