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227" i="25" l="1"/>
  <c r="B228" i="25"/>
  <c r="B229" i="25"/>
  <c r="B230" i="25"/>
  <c r="B231" i="25"/>
  <c r="B281" i="20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M226" i="25"/>
  <c r="K226" i="25"/>
  <c r="I226" i="25"/>
  <c r="B226" i="25"/>
  <c r="D226" i="25"/>
  <c r="L370" i="10"/>
  <c r="M370" i="10"/>
  <c r="I369" i="10"/>
  <c r="G370" i="10"/>
  <c r="C370" i="10"/>
  <c r="D370" i="10"/>
  <c r="E370" i="10" s="1"/>
  <c r="L369" i="9"/>
  <c r="M369" i="9"/>
  <c r="I368" i="9"/>
  <c r="C369" i="9"/>
  <c r="D369" i="9"/>
  <c r="E369" i="9" s="1"/>
  <c r="L369" i="11"/>
  <c r="M369" i="11"/>
  <c r="I368" i="11"/>
  <c r="C369" i="11"/>
  <c r="D369" i="11"/>
  <c r="E369" i="11" s="1"/>
  <c r="L369" i="12"/>
  <c r="M369" i="12"/>
  <c r="I368" i="12"/>
  <c r="C369" i="12"/>
  <c r="D369" i="12"/>
  <c r="G369" i="12" s="1"/>
  <c r="L363" i="8"/>
  <c r="M363" i="8"/>
  <c r="I363" i="8"/>
  <c r="C363" i="8"/>
  <c r="D363" i="8"/>
  <c r="E363" i="8" s="1"/>
  <c r="L363" i="7"/>
  <c r="M363" i="7"/>
  <c r="I363" i="7"/>
  <c r="G363" i="7"/>
  <c r="C363" i="7"/>
  <c r="D363" i="7"/>
  <c r="E363" i="7" s="1"/>
  <c r="L362" i="6"/>
  <c r="M362" i="6"/>
  <c r="I362" i="6"/>
  <c r="C362" i="6"/>
  <c r="D362" i="6"/>
  <c r="E362" i="6" s="1"/>
  <c r="L363" i="5"/>
  <c r="D363" i="5" s="1"/>
  <c r="M363" i="5"/>
  <c r="I363" i="5"/>
  <c r="C363" i="5"/>
  <c r="AX280" i="20" l="1"/>
  <c r="AD280" i="20"/>
  <c r="Z280" i="20"/>
  <c r="AV280" i="20"/>
  <c r="AB280" i="20"/>
  <c r="X280" i="20"/>
  <c r="H370" i="10"/>
  <c r="G369" i="9"/>
  <c r="H369" i="9"/>
  <c r="G369" i="11"/>
  <c r="H369" i="11"/>
  <c r="G363" i="8"/>
  <c r="H363" i="8"/>
  <c r="H363" i="7"/>
  <c r="G362" i="6"/>
  <c r="H362" i="6"/>
  <c r="E363" i="5"/>
  <c r="H363" i="5"/>
  <c r="G363" i="5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<sst xmlns="http://schemas.openxmlformats.org/spreadsheetml/2006/main" count="497" uniqueCount="401">
  <si>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</si>
  <si>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</si>
  <si>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</si>
  <si>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</si>
  <si>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</si>
  <si>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</si>
  <si>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</si>
  <si>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</si>
  <si>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</si>
  <si>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</si>
  <si>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</si>
  <si>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</si>
  <si>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</si>
  <si>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</si>
  <si>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</si>
  <si>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</si>
  <si>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</si>
  <si>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</si>
  <si>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</si>
  <si>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</si>
  <si>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</si>
  <si>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</si>
  <si>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</si>
  <si>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</si>
  <si>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</si>
  <si>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</si>
  <si>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</si>
  <si>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</si>
  <si>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</si>
  <si>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</si>
  <si>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</si>
  <si>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</si>
  <si>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</si>
  <si>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</si>
  <si>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</si>
  <si>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</si>
  <si>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</si>
  <si>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</si>
  <si>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</si>
  <si>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</si>
  <si>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</si>
  <si>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</si>
  <si>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</si>
  <si>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</si>
  <si>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</si>
  <si>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</si>
  <si>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</si>
  <si>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</si>
  <si>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</si>
  <si>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</si>
  <si>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</si>
  <si>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</si>
  <si>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</si>
  <si>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</si>
  <si>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</si>
  <si>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</si>
  <si>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</si>
  <si>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</si>
  <si>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</si>
  <si>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</si>
  <si>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</si>
  <si>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</si>
  <si>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</si>
  <si>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</si>
  <si>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</si>
  <si>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</si>
  <si>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</si>
  <si>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</si>
  <si>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</si>
  <si>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</si>
  <si>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</si>
  <si>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</si>
  <si>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</si>
  <si>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</si>
  <si>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</si>
  <si>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</si>
  <si>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</si>
  <si>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</si>
  <si>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</si>
  <si>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</si>
  <si>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</si>
  <si>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</si>
  <si>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</si>
  <si>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</si>
  <si>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</si>
  <si>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</si>
  <si>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</si>
  <si>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</si>
  <si>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</si>
  <si>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</si>
  <si>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</si>
  <si>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</si>
  <si>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</si>
  <si>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</si>
  <si>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</si>
  <si>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</si>
  <si>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</si>
  <si>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</si>
  <si>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</si>
  <si>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</si>
  <si>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</si>
  <si>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</si>
  <si>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</si>
  <si>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</si>
  <si>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</si>
  <si>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</si>
  <si>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</si>
  <si>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</si>
  <si>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</si>
  <si>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</si>
  <si>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</si>
  <si>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</si>
  <si>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</si>
  <si>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</si>
  <si>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</si>
  <si>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</si>
  <si>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</si>
  <si>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</si>
  <si>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</si>
  <si>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</si>
  <si>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</si>
  <si>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</si>
  <si>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</si>
  <si>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</si>
  <si>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</si>
  <si>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</si>
  <si>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</si>
  <si>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</si>
  <si>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</si>
  <si>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</si>
  <si>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</si>
  <si>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</si>
  <si>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</si>
  <si>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</si>
  <si>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</si>
  <si>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</si>
  <si>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</si>
  <si>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</si>
  <si>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</si>
  <si>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</si>
  <si>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</si>
  <si>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</si>
  <si>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</si>
  <si>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</si>
  <si>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</si>
  <si>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</si>
  <si>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</si>
  <si>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</si>
  <si>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</si>
  <si>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</si>
  <si>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</si>
  <si>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</si>
  <si>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</si>
  <si>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</si>
  <si>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</si>
  <si>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</si>
  <si>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</si>
  <si>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</si>
  <si>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</si>
  <si>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</si>
  <si>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</si>
  <si>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</si>
  <si>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</si>
  <si>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</si>
  <si>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</si>
  <si>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</si>
  <si>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</si>
  <si>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</si>
  <si>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</si>
  <si>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</si>
  <si>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</si>
  <si>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</si>
  <si>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</si>
  <si>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</si>
  <si>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</si>
  <si>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</si>
  <si>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</si>
  <si>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</si>
  <si>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</si>
  <si>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</si>
  <si>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</si>
  <si>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</si>
  <si>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</si>
  <si>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</si>
  <si>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</si>
  <si>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</si>
  <si>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</si>
  <si>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</si>
  <si>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</si>
  <si>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</si>
  <si>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</si>
  <si>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</si>
  <si>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</si>
  <si>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</si>
  <si>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</si>
  <si>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</si>
  <si>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</si>
  <si>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</si>
  <si>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</si>
  <si>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</si>
  <si>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</si>
  <si>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</si>
  <si>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</si>
  <si>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</si>
  <si>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</si>
  <si>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</si>
  <si>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</si>
  <si>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</si>
  <si>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</si>
  <si>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</si>
  <si>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</si>
  <si>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</si>
  <si>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</si>
  <si>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</si>
  <si>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</si>
  <si>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</si>
  <si>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</si>
  <si>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</si>
  <si>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</si>
  <si>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</si>
  <si>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</si>
  <si>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</si>
  <si>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</si>
  <si>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</si>
  <si>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</si>
  <si>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</si>
  <si>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</si>
  <si>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</si>
  <si>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</si>
  <si>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</si>
  <si>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</si>
  <si>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</si>
  <si>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</si>
  <si>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</si>
  <si>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</si>
  <si>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</si>
  <si>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</si>
  <si>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</si>
  <si>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</si>
  <si>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</si>
  <si>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</si>
  <si>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</si>
  <si>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</si>
  <si>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</si>
  <si>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</si>
  <si>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</si>
  <si>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</si>
  <si>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</si>
  <si>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</si>
  <si>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</si>
  <si>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</si>
  <si>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</si>
  <si>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</si>
  <si>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</si>
  <si>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</si>
  <si>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</si>
  <si>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</si>
  <si>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</si>
  <si>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</si>
  <si>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</si>
  <si>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</si>
  <si>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</si>
  <si>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</si>
  <si>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</si>
  <si>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</si>
  <si>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</si>
  <si>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</si>
  <si>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</si>
  <si>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</si>
  <si>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</si>
  <si>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</si>
  <si>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</si>
  <si>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</si>
  <si>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</si>
  <si>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</si>
  <si>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</si>
  <si>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</si>
  <si>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</si>
  <si>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</si>
  <si>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</si>
  <si>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</si>
  <si>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</si>
  <si>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</si>
  <si>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</si>
  <si>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</si>
  <si>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</si>
  <si>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</si>
  <si>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</si>
  <si>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</si>
  <si>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</si>
  <si>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</si>
  <si>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</si>
  <si>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</si>
  <si>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</si>
  <si>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</si>
  <si>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</si>
  <si>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</si>
  <si>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</si>
  <si>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</si>
  <si>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</si>
  <si>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</si>
  <si>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</si>
  <si>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</si>
  <si>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</si>
  <si>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</si>
  <si>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</si>
  <si>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</si>
  <si>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</si>
  <si>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</si>
  <si>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</si>
  <si>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</si>
  <si>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</si>
  <si>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</si>
  <si>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</si>
  <si>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</si>
  <si>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</si>
  <si>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</si>
  <si>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</si>
  <si>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</si>
  <si>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</si>
  <si>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</si>
  <si>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</si>
  <si>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</si>
  <si>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</si>
  <si>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</si>
  <si>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</si>
  <si>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</si>
  <si>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</si>
  <si>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</si>
  <si>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</si>
  <si>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</si>
  <si>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</si>
  <si>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</si>
  <si>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</si>
  <si>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</si>
  <si>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</si>
  <si>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</si>
  <si>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</si>
  <si>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</si>
  <si>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</si>
  <si>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</si>
  <si>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</si>
  <si>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</si>
  <si>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</si>
  <si>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</si>
  <si>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</si>
  <si>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</si>
  <si>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</si>
  <si>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</si>
  <si>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</si>
  <si>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</si>
  <si>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</si>
  <si>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</si>
  <si>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</si>
  <si>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</si>
  <si>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</si>
  <si>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</si>
  <si>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</si>
  <si>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</si>
  <si>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</si>
  <si>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</si>
  <si>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</si>
  <si>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</si>
  <si>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</si>
  <si>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</si>
  <si>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</si>
  <si>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</si>
  <si>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</si>
  <si>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</si>
  <si>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</si>
  <si>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</si>
  <si>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</si>
  <si>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</si>
  <si>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</si>
  <si>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</si>
  <si>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</si>
  <si>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</si>
  <si>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</si>
  <si>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</si>
  <si>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</si>
  <si>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</si>
  <si>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</si>
  <si>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</si>
  <si>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</si>
  <si>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</si>
  <si>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</si>
  <si>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</si>
  <si>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</si>
  <si>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</si>
  <si>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</si>
  <si>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</si>
  <si>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</si>
  <si>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</si>
  <si>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</si>
  <si>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</si>
  <si>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</si>
  <si>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</si>
  <si>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</si>
  <si>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</si>
  <si>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FTSEA50 2</t>
  </si>
  <si>
    <t>rmb rose more than 1% since 1.5 weeks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</si>
</sst>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tabSelected="1" zoomScale="115" zoomScaleNormal="115" workbookViewId="0">
      <selection activeCell="D19" sqref="D19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D10</f>
        <v>42916</v>
      </c>
    </row>
    <row r="2" spans="1:14" x14ac:dyDescent="0.15">
      <c r="A2" t="s">
        <v>391</v>
      </c>
      <c r="B2" s="39">
        <v>6.769215</v>
      </c>
      <c r="C2" s="1">
        <v>42916</v>
      </c>
      <c r="D2" s="41">
        <v>13</v>
      </c>
    </row>
    <row r="3" spans="1:14" x14ac:dyDescent="0.15">
      <c r="A3" t="s">
        <v>392</v>
      </c>
      <c r="B3" s="39">
        <v>6.7837199999999998</v>
      </c>
      <c r="C3" s="1">
        <v>42916</v>
      </c>
      <c r="D3" s="41">
        <v>16</v>
      </c>
      <c r="J3" s="91"/>
      <c r="K3" s="92"/>
      <c r="L3" s="93"/>
    </row>
    <row r="4" spans="1:14" x14ac:dyDescent="0.15">
      <c r="A4" t="s">
        <v>393</v>
      </c>
      <c r="B4" s="39">
        <v>6.7806449999999998</v>
      </c>
      <c r="C4" s="1">
        <v>42917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3666.7977000000001</v>
      </c>
      <c r="C5" s="41">
        <v>3668.8279000000002</v>
      </c>
      <c r="D5" s="25">
        <v>-5.9999999999999995E-4</v>
      </c>
      <c r="J5" s="71"/>
      <c r="K5" s="72"/>
      <c r="L5" s="73"/>
      <c r="M5" s="74"/>
    </row>
    <row r="6" spans="1:14" x14ac:dyDescent="0.15">
      <c r="A6" t="s">
        <v>349</v>
      </c>
      <c r="B6" s="39">
        <v>3192.4268999999999</v>
      </c>
      <c r="C6" s="41">
        <v>3188.0625</v>
      </c>
      <c r="D6" s="25">
        <v>1.4E-3</v>
      </c>
      <c r="J6" s="75"/>
      <c r="K6" s="76"/>
      <c r="L6" s="77"/>
      <c r="M6" s="78"/>
    </row>
    <row r="7" spans="1:14" x14ac:dyDescent="0.15">
      <c r="A7" t="s">
        <v>350</v>
      </c>
      <c r="B7">
        <v>1818.067</v>
      </c>
      <c r="C7" s="39">
        <v>1813.5519999999999</v>
      </c>
      <c r="D7" s="25">
        <v>2.5000000000000001E-3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10529.609</v>
      </c>
      <c r="C8" s="39">
        <v>10511.86</v>
      </c>
      <c r="D8" s="25">
        <v>1.6999999999999999E-3</v>
      </c>
      <c r="J8" s="83"/>
      <c r="K8" s="84"/>
      <c r="L8" s="85"/>
      <c r="M8" s="86"/>
    </row>
    <row r="9" spans="1:14" x14ac:dyDescent="0.15">
      <c r="A9" t="s">
        <v>352</v>
      </c>
      <c r="B9">
        <v>6138.1556</v>
      </c>
      <c r="C9" s="39">
        <v>6116.9931999999999</v>
      </c>
      <c r="D9" s="25">
        <v>3.5000000000000001E-3</v>
      </c>
      <c r="J9" s="87"/>
      <c r="K9" s="88"/>
      <c r="L9" s="89"/>
      <c r="M9" s="90"/>
    </row>
    <row r="10" spans="1:14" x14ac:dyDescent="0.15">
      <c r="A10" t="s">
        <v>353</v>
      </c>
      <c r="B10">
        <v>12.54</v>
      </c>
      <c r="C10" s="39">
        <v>12.823</v>
      </c>
      <c r="D10" s="1">
        <v>42916</v>
      </c>
    </row>
    <row r="11" spans="1:14" x14ac:dyDescent="0.15">
      <c r="A11" t="s">
        <v>354</v>
      </c>
      <c r="B11">
        <v>13.06</v>
      </c>
      <c r="C11" s="39">
        <v>13.085599999999999</v>
      </c>
      <c r="D11" s="1">
        <v>42916</v>
      </c>
    </row>
    <row r="12" spans="1:14" x14ac:dyDescent="0.15">
      <c r="A12" t="s">
        <v>355</v>
      </c>
      <c r="B12">
        <v>7.71</v>
      </c>
      <c r="C12" s="1">
        <v>7.8120000000000003</v>
      </c>
      <c r="D12" s="1">
        <v>42916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43.15</v>
      </c>
      <c r="C13" s="39">
        <v>43.389000000000003</v>
      </c>
      <c r="D13" s="1">
        <v>42916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39.71</v>
      </c>
      <c r="C14" s="39">
        <v>40.04</v>
      </c>
      <c r="D14" s="1">
        <v>42915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31.39</v>
      </c>
      <c r="C15">
        <v>31.2012</v>
      </c>
      <c r="D15" s="1">
        <v>42915</v>
      </c>
    </row>
    <row r="16" spans="1:14" x14ac:dyDescent="0.15">
      <c r="A16" t="s">
        <v>359</v>
      </c>
      <c r="B16">
        <v>27.26</v>
      </c>
      <c r="C16">
        <v>27.139099999999999</v>
      </c>
      <c r="D16" s="1">
        <v>42915</v>
      </c>
    </row>
    <row r="17" spans="1:16" x14ac:dyDescent="0.15">
      <c r="A17" t="s">
        <v>360</v>
      </c>
      <c r="B17">
        <v>33.06</v>
      </c>
      <c r="C17" s="1">
        <v>32.838999999999999</v>
      </c>
      <c r="D17" s="1">
        <v>42915</v>
      </c>
    </row>
    <row r="18" spans="1:16" x14ac:dyDescent="0.15">
      <c r="A18" t="s">
        <v>361</v>
      </c>
      <c r="B18">
        <v>11460.25</v>
      </c>
      <c r="C18" s="1"/>
      <c r="D18" s="1"/>
    </row>
    <row r="19" spans="1:16" x14ac:dyDescent="0.15">
      <c r="A19" t="s">
        <v>399</v>
      </c>
      <c r="B19">
        <v>11460.25</v>
      </c>
      <c r="D19" s="1"/>
    </row>
    <row r="20" spans="1:16" x14ac:dyDescent="0.15">
      <c r="A20" t="s">
        <v>362</v>
      </c>
      <c r="B20">
        <v>17725.349999999999</v>
      </c>
      <c r="C20" s="1"/>
      <c r="D20" s="41"/>
    </row>
    <row r="21" spans="1:16" x14ac:dyDescent="0.15">
      <c r="A21" t="s">
        <v>363</v>
      </c>
      <c r="B21">
        <v>6.7744</v>
      </c>
      <c r="C21" s="1">
        <v>42917</v>
      </c>
      <c r="D21" s="41">
        <v>0.22916666666666666</v>
      </c>
    </row>
    <row r="22" spans="1:16" x14ac:dyDescent="0.15">
      <c r="A22" t="s">
        <v>364</v>
      </c>
      <c r="B22">
        <v>931</v>
      </c>
      <c r="C22" s="39">
        <v>935</v>
      </c>
      <c r="D22" s="41">
        <v>940</v>
      </c>
      <c r="E22" t="s">
        <v>365</v>
      </c>
      <c r="F22" t="s">
        <v>366</v>
      </c>
      <c r="G22" t="s">
        <v>367</v>
      </c>
      <c r="H22" t="s">
        <v>368</v>
      </c>
      <c r="I22" t="s">
        <v>369</v>
      </c>
      <c r="J22" t="s">
        <v>370</v>
      </c>
      <c r="K22" t="s">
        <v>371</v>
      </c>
      <c r="L22" t="s">
        <v>372</v>
      </c>
      <c r="M22" t="s">
        <v>373</v>
      </c>
      <c r="N22" t="s">
        <v>374</v>
      </c>
      <c r="O22" t="s">
        <v>375</v>
      </c>
      <c r="P22" t="s">
        <v>376</v>
      </c>
    </row>
    <row r="23" spans="1:16" x14ac:dyDescent="0.15">
      <c r="A23" s="39">
        <v>3176.9481000000001</v>
      </c>
      <c r="B23" s="39">
        <v>3174.4868000000001</v>
      </c>
      <c r="C23" s="39">
        <v>3175.0974000000001</v>
      </c>
      <c r="D23" s="1">
        <v>3180.7406999999998</v>
      </c>
      <c r="E23">
        <v>3182.4101000000001</v>
      </c>
      <c r="F23">
        <v>3183.1370000000002</v>
      </c>
      <c r="G23">
        <v>3171.6046999999999</v>
      </c>
      <c r="H23">
        <v>942</v>
      </c>
      <c r="I23">
        <v>1059</v>
      </c>
      <c r="J23">
        <v>3182.4101000000001</v>
      </c>
      <c r="K23">
        <v>3181.5511000000001</v>
      </c>
      <c r="L23">
        <v>3191.0639999999999</v>
      </c>
      <c r="M23">
        <v>3193.0587</v>
      </c>
      <c r="N23">
        <v>3180.3042999999998</v>
      </c>
      <c r="O23">
        <v>1445</v>
      </c>
      <c r="P23">
        <v>1313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1"/>
  <sheetViews>
    <sheetView zoomScale="115" zoomScaleNormal="115" workbookViewId="0">
      <pane xSplit="1" ySplit="1" topLeftCell="B200" activePane="bottomRight" state="frozen"/>
      <selection pane="topRight" activeCell="B1" sqref="B1"/>
      <selection pane="bottomLeft" activeCell="A2" sqref="A2"/>
      <selection pane="bottomRight" activeCell="B226" sqref="B226:B23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27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378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387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394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26" si="15">LN(C220/C219)</f>
        <v>5.8655326653686257E-5</v>
      </c>
      <c r="H220">
        <v>6.8302350000000001</v>
      </c>
      <c r="I220" s="25">
        <f t="shared" ref="I220:I226" si="16">LN(H220/H219)</f>
        <v>1.1859738836099735E-4</v>
      </c>
      <c r="J220">
        <v>6.8346549999999997</v>
      </c>
      <c r="K220" s="25">
        <f t="shared" ref="K220:K226" si="17">LN(J220/J219)</f>
        <v>6.0958008553464011E-4</v>
      </c>
      <c r="L220">
        <v>6.837275</v>
      </c>
      <c r="M220" s="25">
        <f t="shared" ref="M220:M22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398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400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3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3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</row>
    <row r="227" spans="1:13" x14ac:dyDescent="0.15">
      <c r="A227" s="1">
        <v>42919</v>
      </c>
      <c r="B227" s="41">
        <f t="shared" si="14"/>
        <v>1</v>
      </c>
    </row>
    <row r="228" spans="1:13" x14ac:dyDescent="0.15">
      <c r="A228" s="1">
        <v>42920</v>
      </c>
      <c r="B228" s="41">
        <f t="shared" ref="B228:B231" si="19">WEEKDAY(A228,2)</f>
        <v>2</v>
      </c>
    </row>
    <row r="229" spans="1:13" x14ac:dyDescent="0.15">
      <c r="A229" s="1">
        <v>42921</v>
      </c>
      <c r="B229" s="41">
        <f t="shared" si="19"/>
        <v>3</v>
      </c>
    </row>
    <row r="230" spans="1:13" x14ac:dyDescent="0.15">
      <c r="A230" s="1">
        <v>42922</v>
      </c>
      <c r="B230" s="41">
        <f t="shared" si="19"/>
        <v>4</v>
      </c>
    </row>
    <row r="231" spans="1:13" x14ac:dyDescent="0.15">
      <c r="A231" s="1">
        <v>42923</v>
      </c>
      <c r="B231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5"/>
  <sheetViews>
    <sheetView zoomScale="115" zoomScaleNormal="115" workbookViewId="0">
      <pane xSplit="2" ySplit="6" topLeftCell="C259" activePane="bottomRight" state="frozen"/>
      <selection pane="topRight" activeCell="C1" sqref="C1"/>
      <selection pane="bottomLeft" activeCell="A3" sqref="A3"/>
      <selection pane="bottomRight" activeCell="A281" sqref="A281:A28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0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8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</row>
    <row r="282" spans="1:62" x14ac:dyDescent="0.15">
      <c r="A282" s="1">
        <v>42920</v>
      </c>
      <c r="B282" s="41">
        <f t="shared" si="248"/>
        <v>2</v>
      </c>
    </row>
    <row r="283" spans="1:62" x14ac:dyDescent="0.15">
      <c r="A283" s="1">
        <v>42921</v>
      </c>
      <c r="B283" s="41">
        <f t="shared" si="248"/>
        <v>3</v>
      </c>
    </row>
    <row r="284" spans="1:62" x14ac:dyDescent="0.15">
      <c r="A284" s="1">
        <v>42922</v>
      </c>
      <c r="B284" s="41">
        <f t="shared" si="248"/>
        <v>4</v>
      </c>
    </row>
    <row r="285" spans="1:62" x14ac:dyDescent="0.15">
      <c r="A285" s="1">
        <v>42923</v>
      </c>
      <c r="B285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8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A364" sqref="A364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3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379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381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388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395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</row>
    <row r="365" spans="1:14" x14ac:dyDescent="0.15">
      <c r="A365" s="1">
        <v>42920</v>
      </c>
    </row>
    <row r="366" spans="1:14" x14ac:dyDescent="0.15">
      <c r="A366" s="1">
        <v>42921</v>
      </c>
    </row>
    <row r="367" spans="1:14" x14ac:dyDescent="0.15">
      <c r="A367" s="1">
        <v>42922</v>
      </c>
    </row>
    <row r="368" spans="1:14" x14ac:dyDescent="0.15">
      <c r="A368" s="1">
        <v>42923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7"/>
  <sheetViews>
    <sheetView zoomScale="115" zoomScaleNormal="115" workbookViewId="0">
      <pane xSplit="1" ySplit="2" topLeftCell="B334" activePane="bottomRight" state="frozen"/>
      <selection pane="topRight" activeCell="B1" sqref="B1"/>
      <selection pane="bottomLeft" activeCell="A3" sqref="A3"/>
      <selection pane="bottomRight" activeCell="A363" sqref="A363:A3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377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 x14ac:dyDescent="0.15">
      <c r="A363" s="1">
        <v>42919</v>
      </c>
    </row>
    <row r="364" spans="1:13" x14ac:dyDescent="0.15">
      <c r="A364" s="1">
        <v>42920</v>
      </c>
    </row>
    <row r="365" spans="1:13" x14ac:dyDescent="0.15">
      <c r="A365" s="1">
        <v>42921</v>
      </c>
    </row>
    <row r="366" spans="1:13" x14ac:dyDescent="0.15">
      <c r="A366" s="1">
        <v>42922</v>
      </c>
    </row>
    <row r="367" spans="1:13" x14ac:dyDescent="0.15">
      <c r="A367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8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A364" sqref="A364:A36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380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385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390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389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3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</row>
    <row r="365" spans="1:13" x14ac:dyDescent="0.15">
      <c r="A365" s="1">
        <v>42920</v>
      </c>
    </row>
    <row r="366" spans="1:13" x14ac:dyDescent="0.15">
      <c r="A366" s="1">
        <v>42921</v>
      </c>
    </row>
    <row r="367" spans="1:13" x14ac:dyDescent="0.15">
      <c r="A367" s="1">
        <v>42922</v>
      </c>
    </row>
    <row r="368" spans="1:13" x14ac:dyDescent="0.1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8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A364" sqref="A364:A36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1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1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1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1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1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1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1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1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1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1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1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1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1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1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1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1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1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1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1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1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1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1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1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1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1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1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1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1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1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1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1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1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1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1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1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1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1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1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1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1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382</v>
      </c>
    </row>
    <row r="346" spans="1:14" x14ac:dyDescent="0.1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1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1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1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1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3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1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1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15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 x14ac:dyDescent="0.15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 x14ac:dyDescent="0.15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 x14ac:dyDescent="0.15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 x14ac:dyDescent="0.15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 x14ac:dyDescent="0.15">
      <c r="A364" s="1">
        <v>42919</v>
      </c>
    </row>
    <row r="365" spans="1:13" x14ac:dyDescent="0.15">
      <c r="A365" s="1">
        <v>42920</v>
      </c>
    </row>
    <row r="366" spans="1:13" x14ac:dyDescent="0.15">
      <c r="A366" s="1">
        <v>42921</v>
      </c>
    </row>
    <row r="367" spans="1:13" x14ac:dyDescent="0.15">
      <c r="A367" s="1">
        <v>42922</v>
      </c>
    </row>
    <row r="368" spans="1:13" x14ac:dyDescent="0.1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4"/>
  <sheetViews>
    <sheetView zoomScale="115" zoomScaleNormal="115" workbookViewId="0">
      <pane xSplit="1" ySplit="2" topLeftCell="B341" activePane="bottomRight" state="frozen"/>
      <selection pane="topRight" activeCell="B1" sqref="B1"/>
      <selection pane="bottomLeft" activeCell="A3" sqref="A3"/>
      <selection pane="bottomRight" activeCell="A370" sqref="A370:A37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68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G369" s="42">
        <f t="shared" ref="G369" si="303">+B369/D369-1</f>
        <v>-1.9019045083408237E-3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 x14ac:dyDescent="0.15">
      <c r="A370" s="1">
        <v>42919</v>
      </c>
    </row>
    <row r="371" spans="1:13" x14ac:dyDescent="0.15">
      <c r="A371" s="1">
        <v>42920</v>
      </c>
    </row>
    <row r="372" spans="1:13" x14ac:dyDescent="0.15">
      <c r="A372" s="1">
        <v>42921</v>
      </c>
    </row>
    <row r="373" spans="1:13" x14ac:dyDescent="0.15">
      <c r="A373" s="1">
        <v>42922</v>
      </c>
    </row>
    <row r="374" spans="1:13" x14ac:dyDescent="0.1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4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A370" sqref="A370:A3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68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 x14ac:dyDescent="0.15">
      <c r="A370" s="1">
        <v>42919</v>
      </c>
    </row>
    <row r="371" spans="1:13" x14ac:dyDescent="0.15">
      <c r="A371" s="1">
        <v>42920</v>
      </c>
    </row>
    <row r="372" spans="1:13" x14ac:dyDescent="0.15">
      <c r="A372" s="1">
        <v>42921</v>
      </c>
    </row>
    <row r="373" spans="1:13" x14ac:dyDescent="0.15">
      <c r="A373" s="1">
        <v>42922</v>
      </c>
    </row>
    <row r="374" spans="1:13" x14ac:dyDescent="0.1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4"/>
  <sheetViews>
    <sheetView zoomScale="115" zoomScaleNormal="115" workbookViewId="0">
      <pane xSplit="1" ySplit="2" topLeftCell="B341" activePane="bottomRight" state="frozen"/>
      <selection pane="topRight" activeCell="B1" sqref="B1"/>
      <selection pane="bottomLeft" activeCell="A3" sqref="A3"/>
      <selection pane="bottomRight" activeCell="A370" sqref="A370:A3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68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383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384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386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396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397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3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3" x14ac:dyDescent="0.15">
      <c r="A370" s="1">
        <v>42919</v>
      </c>
    </row>
    <row r="371" spans="1:13" x14ac:dyDescent="0.15">
      <c r="A371" s="1">
        <v>42920</v>
      </c>
    </row>
    <row r="372" spans="1:13" x14ac:dyDescent="0.15">
      <c r="A372" s="1">
        <v>42921</v>
      </c>
    </row>
    <row r="373" spans="1:13" x14ac:dyDescent="0.15">
      <c r="A373" s="1">
        <v>42922</v>
      </c>
    </row>
    <row r="374" spans="1:13" x14ac:dyDescent="0.1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5"/>
  <sheetViews>
    <sheetView zoomScale="115" zoomScaleNormal="115" workbookViewId="0">
      <pane xSplit="1" ySplit="2" topLeftCell="B340" activePane="bottomRight" state="frozen"/>
      <selection pane="topRight" activeCell="B1" sqref="B1"/>
      <selection pane="bottomLeft" activeCell="A3" sqref="A3"/>
      <selection pane="bottomRight" activeCell="A371" sqref="A371:A37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69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3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3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3" x14ac:dyDescent="0.15">
      <c r="A371" s="1">
        <v>42919</v>
      </c>
    </row>
    <row r="372" spans="1:13" x14ac:dyDescent="0.15">
      <c r="A372" s="1">
        <v>42920</v>
      </c>
    </row>
    <row r="373" spans="1:13" x14ac:dyDescent="0.15">
      <c r="A373" s="1">
        <v>42921</v>
      </c>
    </row>
    <row r="374" spans="1:13" x14ac:dyDescent="0.15">
      <c r="A374" s="1">
        <v>42922</v>
      </c>
    </row>
    <row r="375" spans="1:13" x14ac:dyDescent="0.15">
      <c r="A375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2017-06-30T23:20:49Z</dcterms:modified>
</cp:coreProperties>
</file>