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276" i="20" l="1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B226" i="25"/>
  <c r="B225" i="25"/>
  <c r="B224" i="25"/>
  <c r="B223" i="25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H356" i="8"/>
  <c r="I356" i="8"/>
  <c r="I357" i="8"/>
  <c r="D356" i="8"/>
  <c r="E356" i="8" s="1"/>
  <c r="D357" i="8"/>
  <c r="E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A1" i="27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H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H355" i="8"/>
  <c r="E355" i="8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8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H353" i="8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H352" i="8" s="1"/>
  <c r="E352" i="8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H351" i="8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H350" i="8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G349" i="8"/>
  <c r="H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H348" i="8"/>
  <c r="G348" i="8"/>
  <c r="E348" i="8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H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H346" i="8" s="1"/>
  <c r="E346" i="8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H345" i="8"/>
  <c r="E345" i="8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H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H342" i="8" s="1"/>
  <c r="E342" i="8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G341" i="8"/>
  <c r="H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G339" i="8"/>
  <c r="H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G337" i="8"/>
  <c r="H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E343" i="10"/>
  <c r="H343" i="10"/>
  <c r="G343" i="10"/>
  <c r="E342" i="9"/>
  <c r="G342" i="9"/>
  <c r="G342" i="11"/>
  <c r="H342" i="11"/>
  <c r="G336" i="8"/>
  <c r="H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G333" i="8"/>
  <c r="H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H330" i="8"/>
  <c r="G330" i="8"/>
  <c r="E330" i="8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H329" i="8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H327" i="8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H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G324" i="8"/>
  <c r="H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G323" i="8"/>
  <c r="H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G322" i="8"/>
  <c r="H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H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H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G318" i="8"/>
  <c r="H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G317" i="8"/>
  <c r="H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H316" i="8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22" i="10"/>
  <c r="H321" i="9"/>
  <c r="E321" i="11"/>
  <c r="G321" i="11"/>
  <c r="H321" i="11"/>
  <c r="H315" i="8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H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H312" i="8" s="1"/>
  <c r="E312" i="8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H310" i="8" s="1"/>
  <c r="E310" i="8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H309" i="8" s="1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H307" i="8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H304" i="8" s="1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10" i="10"/>
  <c r="G310" i="10"/>
  <c r="E310" i="10"/>
  <c r="G309" i="9"/>
  <c r="H309" i="9"/>
  <c r="G303" i="8"/>
  <c r="H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H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G301" i="8"/>
  <c r="H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G300" i="8"/>
  <c r="H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H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G297" i="8"/>
  <c r="H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H296" i="8" s="1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H295" i="8" s="1"/>
  <c r="E295" i="8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H292" i="8" s="1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H291" i="8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H290" i="8"/>
  <c r="G290" i="8"/>
  <c r="E290" i="8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G289" i="8"/>
  <c r="H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45" i="8"/>
  <c r="H258" i="9"/>
  <c r="H247" i="6"/>
  <c r="E266" i="7"/>
  <c r="H267" i="9"/>
  <c r="E258" i="9"/>
  <c r="H252" i="11"/>
  <c r="H265" i="5"/>
  <c r="E253" i="11"/>
  <c r="E238" i="6"/>
  <c r="H249" i="9"/>
  <c r="E241" i="8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H257" i="8"/>
  <c r="H246" i="8"/>
  <c r="E263" i="5"/>
  <c r="E264" i="11"/>
  <c r="H253" i="8"/>
  <c r="E251" i="11"/>
  <c r="E264" i="8"/>
  <c r="H258" i="7"/>
  <c r="H252" i="6"/>
  <c r="E276" i="11"/>
  <c r="E269" i="9"/>
  <c r="H277" i="7"/>
  <c r="E269" i="10"/>
  <c r="H261" i="11"/>
  <c r="H255" i="11"/>
  <c r="H286" i="8"/>
  <c r="H263" i="10"/>
  <c r="E282" i="9"/>
  <c r="H270" i="9"/>
  <c r="H262" i="9"/>
  <c r="H251" i="5"/>
  <c r="E283" i="8"/>
  <c r="H257" i="5"/>
  <c r="E254" i="9"/>
  <c r="E250" i="9"/>
  <c r="H244" i="10"/>
  <c r="E246" i="10"/>
  <c r="H245" i="5"/>
  <c r="E248" i="10"/>
  <c r="E293" i="9"/>
  <c r="H287" i="8"/>
  <c r="H278" i="5"/>
  <c r="H269" i="5"/>
  <c r="H287" i="5"/>
  <c r="E276" i="6"/>
  <c r="E279" i="11"/>
  <c r="H274" i="9"/>
  <c r="H285" i="6"/>
  <c r="E280" i="7"/>
  <c r="E273" i="7"/>
  <c r="E268" i="8"/>
  <c r="H275" i="6"/>
  <c r="E237" i="6"/>
  <c r="E249" i="10"/>
  <c r="E245" i="9"/>
  <c r="E244" i="6"/>
  <c r="E284" i="8"/>
  <c r="E279" i="7"/>
  <c r="H274" i="8"/>
  <c r="E276" i="9"/>
  <c r="H294" i="10"/>
  <c r="E286" i="10"/>
  <c r="H241" i="7"/>
  <c r="E244" i="10"/>
  <c r="E243" i="8"/>
  <c r="E286" i="5"/>
  <c r="H292" i="11"/>
  <c r="E279" i="6"/>
  <c r="E277" i="8"/>
  <c r="H280" i="10"/>
  <c r="E275" i="10"/>
  <c r="E286" i="7"/>
  <c r="E283" i="11"/>
  <c r="H272" i="5"/>
  <c r="H268" i="5"/>
  <c r="H293" i="10"/>
  <c r="H282" i="5"/>
  <c r="E283" i="9"/>
  <c r="E280" i="11"/>
  <c r="H240" i="8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78" i="8"/>
  <c r="H263" i="6"/>
  <c r="E259" i="8"/>
  <c r="H288" i="10"/>
  <c r="H291" i="11"/>
  <c r="E273" i="11"/>
  <c r="E261" i="10"/>
  <c r="H251" i="7"/>
  <c r="E245" i="6"/>
  <c r="H273" i="10"/>
  <c r="E261" i="8"/>
  <c r="E262" i="11"/>
  <c r="E248" i="8"/>
  <c r="H269" i="6"/>
  <c r="E262" i="7"/>
  <c r="H243" i="11"/>
  <c r="H241" i="8"/>
  <c r="E238" i="8"/>
  <c r="H249" i="10"/>
  <c r="H286" i="7"/>
  <c r="H286" i="5"/>
  <c r="E272" i="7"/>
  <c r="E274" i="11"/>
  <c r="E285" i="8"/>
  <c r="H287" i="9"/>
  <c r="H282" i="9"/>
  <c r="H278" i="11"/>
  <c r="E274" i="10"/>
  <c r="E285" i="7"/>
  <c r="E282" i="10"/>
  <c r="H271" i="8"/>
  <c r="E267" i="8"/>
  <c r="E272" i="5"/>
  <c r="H239" i="8"/>
  <c r="E243" i="6"/>
  <c r="E241" i="5"/>
  <c r="E285" i="9"/>
  <c r="H293" i="11"/>
  <c r="H285" i="10"/>
  <c r="H279" i="9"/>
  <c r="H268" i="8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67" i="8"/>
  <c r="H292" i="10"/>
  <c r="E288" i="9"/>
  <c r="H276" i="8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4" i="8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49" i="8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58" i="8"/>
  <c r="E258" i="10"/>
  <c r="H249" i="7"/>
  <c r="E284" i="10"/>
  <c r="E263" i="6"/>
  <c r="H260" i="10"/>
  <c r="E251" i="5"/>
  <c r="E246" i="8"/>
  <c r="E265" i="7"/>
  <c r="H260" i="5"/>
  <c r="H256" i="8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E244" i="8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66" i="7"/>
  <c r="H267" i="7"/>
  <c r="E239" i="6"/>
  <c r="E250" i="11"/>
  <c r="H242" i="5"/>
  <c r="E293" i="10"/>
  <c r="E285" i="6"/>
  <c r="H281" i="8"/>
  <c r="E282" i="11"/>
  <c r="H272" i="8"/>
  <c r="H273" i="11"/>
  <c r="E291" i="11"/>
  <c r="H238" i="7"/>
  <c r="H243" i="5"/>
  <c r="H246" i="10"/>
  <c r="E284" i="7"/>
  <c r="E291" i="10"/>
  <c r="H288" i="9"/>
  <c r="H275" i="5"/>
  <c r="H270" i="8"/>
  <c r="H290" i="11"/>
  <c r="H284" i="11"/>
  <c r="H281" i="11"/>
  <c r="E269" i="8"/>
  <c r="H279" i="5"/>
  <c r="H282" i="6"/>
  <c r="E277" i="10"/>
  <c r="E265" i="8"/>
  <c r="H272" i="9"/>
  <c r="E239" i="8"/>
  <c r="H244" i="8"/>
  <c r="H285" i="7"/>
  <c r="E281" i="6"/>
  <c r="E292" i="10"/>
  <c r="H282" i="11"/>
  <c r="E277" i="11"/>
  <c r="E267" i="5"/>
  <c r="H291" i="9"/>
  <c r="E282" i="7"/>
  <c r="H276" i="7"/>
  <c r="H271" i="7"/>
  <c r="E266" i="8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50" i="8"/>
  <c r="H245" i="7"/>
  <c r="H264" i="5"/>
  <c r="H260" i="9"/>
  <c r="H251" i="8"/>
  <c r="E252" i="10"/>
  <c r="H272" i="11"/>
  <c r="H261" i="5"/>
  <c r="E252" i="6"/>
  <c r="E282" i="8"/>
  <c r="H284" i="8"/>
  <c r="H265" i="7"/>
  <c r="H267" i="10"/>
  <c r="H254" i="6"/>
  <c r="E251" i="7"/>
  <c r="E271" i="9"/>
  <c r="H262" i="11"/>
  <c r="H252" i="8"/>
  <c r="E252" i="11"/>
  <c r="H275" i="11"/>
  <c r="H261" i="6"/>
  <c r="H257" i="7"/>
  <c r="E253" i="6"/>
  <c r="E249" i="8"/>
  <c r="H274" i="5"/>
  <c r="H269" i="11"/>
  <c r="E258" i="8"/>
  <c r="H255" i="8"/>
  <c r="H250" i="7"/>
  <c r="E287" i="8"/>
  <c r="H275" i="9"/>
  <c r="H267" i="11"/>
  <c r="H256" i="5"/>
  <c r="H257" i="10"/>
  <c r="H251" i="9"/>
  <c r="E267" i="7"/>
  <c r="E267" i="9"/>
  <c r="E257" i="7"/>
  <c r="E253" i="5"/>
  <c r="H248" i="8"/>
  <c r="H279" i="10"/>
  <c r="E263" i="8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63" i="8"/>
  <c r="H259" i="5"/>
  <c r="E255" i="7"/>
  <c r="H250" i="5"/>
  <c r="H250" i="11"/>
  <c r="E271" i="11"/>
  <c r="E266" i="11"/>
  <c r="E256" i="7"/>
  <c r="E252" i="8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E289" i="11"/>
  <c r="H280" i="11"/>
  <c r="E272" i="10"/>
  <c r="H272" i="10"/>
  <c r="E240" i="6"/>
  <c r="H244" i="9"/>
  <c r="H285" i="8"/>
  <c r="H278" i="7"/>
  <c r="H283" i="6"/>
  <c r="E289" i="10"/>
  <c r="E275" i="5"/>
  <c r="E270" i="6"/>
  <c r="H266" i="8"/>
  <c r="E290" i="11"/>
  <c r="E245" i="10"/>
  <c r="E250" i="10"/>
  <c r="H241" i="5"/>
  <c r="E287" i="7"/>
  <c r="H286" i="10"/>
  <c r="E278" i="6"/>
  <c r="E278" i="8"/>
  <c r="H274" i="7"/>
  <c r="E275" i="9"/>
  <c r="E293" i="11"/>
  <c r="H279" i="8"/>
  <c r="H284" i="9"/>
  <c r="E272" i="6"/>
  <c r="E276" i="10"/>
  <c r="E287" i="5"/>
  <c r="E286" i="9"/>
  <c r="H283" i="8"/>
  <c r="E279" i="9"/>
  <c r="E269" i="5"/>
  <c r="H289" i="11"/>
  <c r="H238" i="8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E270" i="8"/>
  <c r="H265" i="8"/>
  <c r="H271" i="11"/>
  <c r="H266" i="11"/>
  <c r="E262" i="9"/>
  <c r="E273" i="9"/>
  <c r="E271" i="8"/>
  <c r="E262" i="8"/>
  <c r="H251" i="6"/>
  <c r="H247" i="8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H277" i="8"/>
  <c r="E271" i="10"/>
  <c r="E265" i="11"/>
  <c r="E260" i="10"/>
  <c r="E251" i="8"/>
  <c r="E246" i="5"/>
  <c r="E264" i="6"/>
  <c r="H261" i="7"/>
  <c r="E255" i="6"/>
  <c r="H252" i="7"/>
  <c r="H253" i="10"/>
  <c r="H262" i="8"/>
  <c r="E257" i="8"/>
  <c r="H258" i="10"/>
  <c r="E282" i="6"/>
  <c r="E279" i="5"/>
  <c r="H270" i="11"/>
  <c r="E260" i="7"/>
  <c r="E254" i="6"/>
  <c r="E250" i="8"/>
  <c r="E245" i="8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11"/>
  <c r="E247" i="6"/>
  <c r="H268" i="9"/>
  <c r="E254" i="8"/>
  <c r="H248" i="6"/>
  <c r="E276" i="8"/>
  <c r="E262" i="6"/>
  <c r="E265" i="9"/>
  <c r="E255" i="8"/>
  <c r="H250" i="6"/>
  <c r="H245" i="6"/>
  <c r="H264" i="6"/>
  <c r="E260" i="5"/>
  <c r="H260" i="11"/>
  <c r="E251" i="6"/>
  <c r="H243" i="8"/>
  <c r="H238" i="6"/>
  <c r="H247" i="11"/>
  <c r="H242" i="8"/>
  <c r="E244" i="7"/>
  <c r="E242" i="8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H273" i="8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9" i="8"/>
  <c r="H258" i="11"/>
  <c r="E280" i="9"/>
  <c r="H265" i="6"/>
  <c r="E266" i="10"/>
  <c r="H259" i="10"/>
  <c r="E275" i="7"/>
  <c r="H266" i="10"/>
  <c r="H254" i="8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H282" i="8"/>
  <c r="E287" i="11"/>
  <c r="H280" i="5"/>
  <c r="H286" i="11"/>
  <c r="E273" i="8"/>
  <c r="H287" i="10"/>
  <c r="E277" i="5"/>
  <c r="E289" i="9"/>
  <c r="H286" i="9"/>
  <c r="E280" i="8"/>
  <c r="H278" i="9"/>
  <c r="H267" i="5"/>
  <c r="H279" i="6"/>
  <c r="E290" i="10"/>
  <c r="E273" i="5"/>
  <c r="H281" i="5"/>
  <c r="H284" i="10"/>
  <c r="H261" i="8"/>
  <c r="E252" i="5"/>
  <c r="E257" i="5"/>
  <c r="E288" i="10"/>
  <c r="H287" i="11"/>
  <c r="E277" i="7"/>
  <c r="E281" i="8"/>
  <c r="H280" i="8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60" i="8"/>
  <c r="H273" i="7"/>
  <c r="E249" i="5"/>
  <c r="H267" i="6"/>
  <c r="E240" i="5"/>
  <c r="E243" i="5"/>
  <c r="E274" i="7"/>
  <c r="E269" i="7"/>
  <c r="E243" i="7"/>
  <c r="H277" i="6"/>
  <c r="E274" i="5"/>
  <c r="E256" i="5"/>
  <c r="E254" i="5"/>
  <c r="H275" i="8"/>
  <c r="E254" i="7"/>
  <c r="H269" i="8"/>
  <c r="H273" i="5"/>
  <c r="E259" i="10"/>
  <c r="H270" i="7"/>
  <c r="E264" i="10"/>
  <c r="E247" i="5"/>
  <c r="E248" i="5"/>
  <c r="E259" i="5"/>
  <c r="E245" i="5"/>
  <c r="E261" i="7"/>
  <c r="E259" i="9"/>
  <c r="E260" i="8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<sst xmlns="http://schemas.openxmlformats.org/spreadsheetml/2006/main" count="497" uniqueCount="401">
  <si>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</si>
  <si>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</si>
  <si>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</si>
  <si>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</si>
  <si>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</si>
  <si>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</si>
  <si>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</si>
  <si>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</si>
  <si>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</si>
  <si>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</si>
  <si>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</si>
  <si>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</si>
  <si>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</si>
  <si>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</si>
  <si>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</si>
  <si>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</si>
  <si>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</si>
  <si>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</si>
  <si>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</si>
  <si>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</si>
  <si>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</si>
  <si>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</si>
  <si>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</si>
  <si>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</si>
  <si>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</si>
  <si>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</si>
  <si>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</si>
  <si>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</si>
  <si>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</si>
  <si>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</si>
  <si>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</si>
  <si>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</si>
  <si>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</si>
  <si>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</si>
  <si>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</si>
  <si>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</si>
  <si>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</si>
  <si>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</si>
  <si>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</si>
  <si>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</si>
  <si>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</si>
  <si>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</si>
  <si>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</si>
  <si>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</si>
  <si>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</si>
  <si>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</si>
  <si>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</si>
  <si>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</si>
  <si>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</si>
  <si>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</si>
  <si>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</si>
  <si>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</si>
  <si>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</si>
  <si>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</si>
  <si>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</si>
  <si>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</si>
  <si>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</si>
  <si>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</si>
  <si>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</si>
  <si>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</si>
  <si>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</si>
  <si>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</si>
  <si>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</si>
  <si>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</si>
  <si>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</si>
  <si>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</si>
  <si>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</si>
  <si>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</si>
  <si>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</si>
  <si>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</si>
  <si>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</si>
  <si>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</si>
  <si>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</si>
  <si>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</si>
  <si>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</si>
  <si>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</si>
  <si>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</si>
  <si>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</si>
  <si>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</si>
  <si>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</si>
  <si>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</si>
  <si>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</si>
  <si>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</si>
  <si>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</si>
  <si>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</si>
  <si>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</si>
  <si>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</si>
  <si>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</si>
  <si>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</si>
  <si>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</si>
  <si>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</si>
  <si>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</si>
  <si>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</si>
  <si>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</si>
  <si>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</si>
  <si>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</si>
  <si>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</si>
  <si>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</si>
  <si>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</si>
  <si>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</si>
  <si>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</si>
  <si>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</si>
  <si>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</si>
  <si>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</si>
  <si>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</si>
  <si>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</si>
  <si>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</si>
  <si>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</si>
  <si>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</si>
  <si>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</si>
  <si>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</si>
  <si>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</si>
  <si>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</si>
  <si>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</si>
  <si>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</si>
  <si>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</si>
  <si>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</si>
  <si>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</si>
  <si>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</si>
  <si>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</si>
  <si>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</si>
  <si>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</si>
  <si>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</si>
  <si>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</si>
  <si>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</si>
  <si>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</si>
  <si>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</si>
  <si>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</si>
  <si>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</si>
  <si>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</si>
  <si>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</si>
  <si>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</si>
  <si>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</si>
  <si>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</si>
  <si>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</si>
  <si>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</si>
  <si>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</si>
  <si>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</si>
  <si>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</si>
  <si>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</si>
  <si>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</si>
  <si>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</si>
  <si>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</si>
  <si>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</si>
  <si>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</si>
  <si>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</si>
  <si>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</si>
  <si>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</si>
  <si>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</si>
  <si>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</si>
  <si>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</si>
  <si>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</si>
  <si>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</si>
  <si>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</si>
  <si>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</si>
  <si>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</si>
  <si>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</si>
  <si>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</si>
  <si>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</si>
  <si>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</si>
  <si>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</si>
  <si>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</si>
  <si>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</si>
  <si>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</si>
  <si>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</si>
  <si>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</si>
  <si>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</si>
  <si>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</si>
  <si>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</si>
  <si>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</si>
  <si>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</si>
  <si>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</si>
  <si>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</si>
  <si>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</si>
  <si>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</si>
  <si>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</si>
  <si>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</si>
  <si>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</si>
  <si>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</si>
  <si>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</si>
  <si>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</si>
  <si>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</si>
  <si>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</si>
  <si>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</si>
  <si>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</si>
  <si>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</si>
  <si>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</si>
  <si>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</si>
  <si>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</si>
  <si>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</si>
  <si>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</si>
  <si>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</si>
  <si>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</si>
  <si>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</si>
  <si>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</si>
  <si>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</si>
  <si>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</si>
  <si>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</si>
  <si>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</si>
  <si>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</si>
  <si>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</si>
  <si>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</si>
  <si>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</si>
  <si>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</si>
  <si>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</si>
  <si>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</si>
  <si>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</si>
  <si>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</si>
  <si>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</si>
  <si>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</si>
  <si>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</si>
  <si>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</si>
  <si>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</si>
  <si>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</si>
  <si>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</si>
  <si>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</si>
  <si>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</si>
  <si>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</si>
  <si>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</si>
  <si>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</si>
  <si>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</si>
  <si>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</si>
  <si>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</si>
  <si>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</si>
  <si>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</si>
  <si>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</si>
  <si>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</si>
  <si>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</si>
  <si>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</si>
  <si>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</si>
  <si>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</si>
  <si>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</si>
  <si>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</si>
  <si>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</si>
  <si>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</si>
  <si>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</si>
  <si>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</si>
  <si>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</si>
  <si>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</si>
  <si>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</si>
  <si>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</si>
  <si>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</si>
  <si>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</si>
  <si>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</si>
  <si>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</si>
  <si>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</si>
  <si>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</si>
  <si>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</si>
  <si>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</si>
  <si>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</si>
  <si>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</si>
  <si>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</si>
  <si>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</si>
  <si>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</si>
  <si>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</si>
  <si>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</si>
  <si>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</si>
  <si>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</si>
  <si>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</si>
  <si>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</si>
  <si>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</si>
  <si>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</si>
  <si>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</si>
  <si>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</si>
  <si>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</si>
  <si>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</si>
  <si>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</si>
  <si>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</si>
  <si>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</si>
  <si>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</si>
  <si>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</si>
  <si>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</si>
  <si>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</si>
  <si>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</si>
  <si>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</si>
  <si>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</si>
  <si>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</si>
  <si>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</si>
  <si>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</si>
  <si>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</si>
  <si>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</si>
  <si>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</si>
  <si>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</si>
  <si>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</si>
  <si>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</si>
  <si>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</si>
  <si>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</si>
  <si>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</si>
  <si>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</si>
  <si>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</si>
  <si>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</si>
  <si>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</si>
  <si>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</si>
  <si>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</si>
  <si>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</si>
  <si>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</si>
  <si>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</si>
  <si>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</si>
  <si>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</si>
  <si>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</si>
  <si>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</si>
  <si>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</si>
  <si>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</si>
  <si>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</si>
  <si>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</si>
  <si>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</si>
  <si>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</si>
  <si>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</si>
  <si>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</si>
  <si>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</si>
  <si>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</si>
  <si>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</si>
  <si>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</si>
  <si>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</si>
  <si>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</si>
  <si>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</si>
  <si>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</si>
  <si>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</si>
  <si>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</si>
  <si>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</si>
  <si>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</si>
  <si>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</si>
  <si>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</si>
  <si>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</si>
  <si>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</si>
  <si>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</si>
  <si>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</si>
  <si>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</si>
  <si>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</si>
  <si>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</si>
  <si>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</si>
  <si>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</si>
  <si>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</si>
  <si>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</si>
  <si>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</si>
  <si>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</si>
  <si>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</si>
  <si>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</si>
  <si>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</si>
  <si>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</si>
  <si>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</si>
  <si>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</si>
  <si>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</si>
  <si>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</si>
  <si>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</si>
  <si>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</si>
  <si>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</si>
  <si>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</si>
  <si>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</si>
  <si>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</si>
  <si>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</si>
  <si>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</si>
  <si>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</si>
  <si>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</si>
  <si>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</si>
  <si>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</si>
  <si>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</si>
  <si>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</si>
  <si>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</si>
  <si>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</si>
  <si>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</si>
  <si>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</si>
  <si>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</si>
  <si>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</si>
  <si>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</si>
  <si>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</si>
  <si>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</si>
  <si>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</si>
  <si>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</si>
  <si>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</si>
  <si>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</si>
  <si>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</si>
  <si>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</si>
  <si>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</si>
  <si>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</si>
  <si>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</si>
  <si>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</si>
  <si>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</si>
  <si>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</si>
  <si>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</si>
  <si>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</si>
  <si>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</si>
  <si>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</si>
  <si>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</si>
  <si>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</si>
  <si>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</si>
  <si>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</si>
  <si>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</si>
  <si>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</si>
  <si>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</si>
  <si>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</si>
  <si>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</si>
  <si>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</si>
  <si>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</si>
  <si>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</si>
  <si>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</si>
  <si>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</si>
  <si>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</si>
  <si>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</si>
  <si>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FTSEA50 2</t>
  </si>
  <si>
    <t>rmb rose more than 1% since 1.5 weeks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</si>
</sst>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E16" sqref="E16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D10</f>
        <v>42912</v>
      </c>
    </row>
    <row r="2" spans="1:14" x14ac:dyDescent="0.15">
      <c r="A2" t="s">
        <v>391</v>
      </c>
      <c r="B2" s="39">
        <v>6.8490950000000002</v>
      </c>
      <c r="C2" s="1">
        <v>42912</v>
      </c>
      <c r="D2" s="41">
        <v>13</v>
      </c>
    </row>
    <row r="3" spans="1:14" x14ac:dyDescent="0.15">
      <c r="A3" t="s">
        <v>392</v>
      </c>
      <c r="B3" s="39">
        <v>6.8489199999999997</v>
      </c>
      <c r="C3" s="1">
        <v>42912</v>
      </c>
      <c r="D3" s="41">
        <v>16</v>
      </c>
      <c r="J3" s="91"/>
      <c r="K3" s="92"/>
      <c r="L3" s="93"/>
    </row>
    <row r="4" spans="1:14" x14ac:dyDescent="0.15">
      <c r="A4" t="s">
        <v>393</v>
      </c>
      <c r="B4" s="39">
        <v>6.8570250000000001</v>
      </c>
      <c r="C4" s="1">
        <v>42913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3668.0918999999999</v>
      </c>
      <c r="C5" s="41">
        <v>3622.8831</v>
      </c>
      <c r="D5" s="25">
        <v>1.2500000000000001E-2</v>
      </c>
      <c r="J5" s="71"/>
      <c r="K5" s="72"/>
      <c r="L5" s="73"/>
      <c r="M5" s="74"/>
    </row>
    <row r="6" spans="1:14" x14ac:dyDescent="0.15">
      <c r="A6" t="s">
        <v>349</v>
      </c>
      <c r="B6" s="39">
        <v>3185.4439000000002</v>
      </c>
      <c r="C6" s="41">
        <v>3157.873</v>
      </c>
      <c r="D6" s="25">
        <v>8.6999999999999994E-3</v>
      </c>
      <c r="J6" s="75"/>
      <c r="K6" s="76"/>
      <c r="L6" s="77"/>
      <c r="M6" s="78"/>
    </row>
    <row r="7" spans="1:14" x14ac:dyDescent="0.15">
      <c r="A7" t="s">
        <v>350</v>
      </c>
      <c r="B7">
        <v>1821.277</v>
      </c>
      <c r="C7" s="39">
        <v>1807.4290000000001</v>
      </c>
      <c r="D7" s="25">
        <v>7.7000000000000002E-3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10537.591</v>
      </c>
      <c r="C8" s="39">
        <v>10366.776</v>
      </c>
      <c r="D8" s="25">
        <v>1.6500000000000001E-2</v>
      </c>
      <c r="J8" s="83"/>
      <c r="K8" s="84"/>
      <c r="L8" s="85"/>
      <c r="M8" s="86"/>
    </row>
    <row r="9" spans="1:14" x14ac:dyDescent="0.15">
      <c r="A9" t="s">
        <v>352</v>
      </c>
      <c r="B9">
        <v>6111.6405999999997</v>
      </c>
      <c r="C9" s="39">
        <v>6010.3136999999997</v>
      </c>
      <c r="D9" s="25">
        <v>1.6899999999999998E-2</v>
      </c>
      <c r="J9" s="87"/>
      <c r="K9" s="88"/>
      <c r="L9" s="89"/>
      <c r="M9" s="90"/>
    </row>
    <row r="10" spans="1:14" x14ac:dyDescent="0.15">
      <c r="A10" t="s">
        <v>353</v>
      </c>
      <c r="B10">
        <v>12.42</v>
      </c>
      <c r="C10" s="39">
        <v>12.694000000000001</v>
      </c>
      <c r="D10" s="1">
        <v>42912</v>
      </c>
    </row>
    <row r="11" spans="1:14" x14ac:dyDescent="0.15">
      <c r="A11" t="s">
        <v>354</v>
      </c>
      <c r="B11">
        <v>12.96</v>
      </c>
      <c r="C11" s="39">
        <v>12.8954</v>
      </c>
      <c r="D11" s="1">
        <v>42912</v>
      </c>
    </row>
    <row r="12" spans="1:14" x14ac:dyDescent="0.15">
      <c r="A12" t="s">
        <v>355</v>
      </c>
      <c r="B12">
        <v>7.72</v>
      </c>
      <c r="C12" s="1">
        <v>7.7329999999999997</v>
      </c>
      <c r="D12" s="1">
        <v>42912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42.95</v>
      </c>
      <c r="C13" s="39">
        <v>42.811999999999998</v>
      </c>
      <c r="D13" s="1">
        <v>42912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40.229999999999997</v>
      </c>
      <c r="C14" s="39">
        <v>39.82</v>
      </c>
      <c r="D14" s="1">
        <v>42909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31.2</v>
      </c>
      <c r="C15">
        <v>30.664000000000001</v>
      </c>
      <c r="D15" s="1">
        <v>42909</v>
      </c>
    </row>
    <row r="16" spans="1:14" x14ac:dyDescent="0.15">
      <c r="A16" t="s">
        <v>359</v>
      </c>
      <c r="B16">
        <v>27.05</v>
      </c>
      <c r="C16">
        <v>26.613199999999999</v>
      </c>
      <c r="D16" s="1">
        <v>42909</v>
      </c>
    </row>
    <row r="17" spans="1:16" x14ac:dyDescent="0.15">
      <c r="A17" t="s">
        <v>360</v>
      </c>
      <c r="B17">
        <v>32.56</v>
      </c>
      <c r="C17" s="1">
        <v>32.032200000000003</v>
      </c>
      <c r="D17" s="1">
        <v>42909</v>
      </c>
    </row>
    <row r="18" spans="1:16" x14ac:dyDescent="0.15">
      <c r="A18" t="s">
        <v>361</v>
      </c>
      <c r="B18">
        <v>11436.97</v>
      </c>
      <c r="C18" s="1"/>
      <c r="D18" s="1"/>
    </row>
    <row r="19" spans="1:16" x14ac:dyDescent="0.15">
      <c r="A19" t="s">
        <v>399</v>
      </c>
      <c r="B19">
        <v>11436.97</v>
      </c>
      <c r="D19" s="1"/>
    </row>
    <row r="20" spans="1:16" x14ac:dyDescent="0.15">
      <c r="A20" t="s">
        <v>362</v>
      </c>
      <c r="B20">
        <v>17926.810000000001</v>
      </c>
      <c r="C20" s="1"/>
      <c r="D20" s="41"/>
    </row>
    <row r="21" spans="1:16" x14ac:dyDescent="0.15">
      <c r="A21" t="s">
        <v>363</v>
      </c>
      <c r="B21">
        <v>6.8220000000000001</v>
      </c>
      <c r="C21" s="1">
        <v>42913</v>
      </c>
      <c r="D21" s="41">
        <v>0.22916666666666666</v>
      </c>
    </row>
    <row r="22" spans="1:16" x14ac:dyDescent="0.15">
      <c r="A22" t="s">
        <v>364</v>
      </c>
      <c r="B22">
        <v>931</v>
      </c>
      <c r="C22" s="39">
        <v>935</v>
      </c>
      <c r="D22" s="41">
        <v>940</v>
      </c>
      <c r="E22" t="s">
        <v>365</v>
      </c>
      <c r="F22" t="s">
        <v>366</v>
      </c>
      <c r="G22" t="s">
        <v>367</v>
      </c>
      <c r="H22" t="s">
        <v>368</v>
      </c>
      <c r="I22" t="s">
        <v>369</v>
      </c>
      <c r="J22" t="s">
        <v>370</v>
      </c>
      <c r="K22" t="s">
        <v>371</v>
      </c>
      <c r="L22" t="s">
        <v>372</v>
      </c>
      <c r="M22" t="s">
        <v>373</v>
      </c>
      <c r="N22" t="s">
        <v>374</v>
      </c>
      <c r="O22" t="s">
        <v>375</v>
      </c>
      <c r="P22" t="s">
        <v>376</v>
      </c>
    </row>
    <row r="23" spans="1:16" x14ac:dyDescent="0.15">
      <c r="A23" s="39">
        <v>3157.0021999999999</v>
      </c>
      <c r="B23" s="39">
        <v>3160.0145000000002</v>
      </c>
      <c r="C23" s="39">
        <v>3168.1457</v>
      </c>
      <c r="D23" s="1">
        <v>3173.7134000000001</v>
      </c>
      <c r="E23">
        <v>3178.1451000000002</v>
      </c>
      <c r="F23">
        <v>3183.1039000000001</v>
      </c>
      <c r="G23">
        <v>3157.0021999999999</v>
      </c>
      <c r="H23">
        <v>1027</v>
      </c>
      <c r="I23">
        <v>930</v>
      </c>
      <c r="J23">
        <v>3178.1451000000002</v>
      </c>
      <c r="K23">
        <v>3181.5295000000001</v>
      </c>
      <c r="L23">
        <v>3186.0466000000001</v>
      </c>
      <c r="M23">
        <v>3187.7836000000002</v>
      </c>
      <c r="N23">
        <v>3174.3629000000001</v>
      </c>
      <c r="O23">
        <v>1448</v>
      </c>
      <c r="P23">
        <v>1407</v>
      </c>
    </row>
    <row r="24" spans="1:16" x14ac:dyDescent="0.15">
      <c r="C24" s="39"/>
      <c r="D24" s="1"/>
    </row>
    <row r="25" spans="1:16" x14ac:dyDescent="0.15">
      <c r="D25" s="1"/>
    </row>
    <row r="26" spans="1:16" x14ac:dyDescent="0.15">
      <c r="D26" s="25"/>
    </row>
    <row r="27" spans="1:16" x14ac:dyDescent="0.15">
      <c r="D27" s="1"/>
    </row>
    <row r="28" spans="1:16" x14ac:dyDescent="0.15">
      <c r="C28" s="1"/>
      <c r="D28" s="94"/>
    </row>
    <row r="29" spans="1:16" x14ac:dyDescent="0.15">
      <c r="C29" s="1"/>
      <c r="D29" s="1"/>
    </row>
    <row r="30" spans="1:16" x14ac:dyDescent="0.15">
      <c r="D30" s="1"/>
    </row>
    <row r="31" spans="1:16" x14ac:dyDescent="0.15">
      <c r="D31" s="1"/>
    </row>
    <row r="32" spans="1:16" x14ac:dyDescent="0.15">
      <c r="C32" s="1"/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26"/>
  <sheetViews>
    <sheetView zoomScale="115" zoomScaleNormal="115" workbookViewId="0">
      <pane xSplit="1" ySplit="1" topLeftCell="B197" activePane="bottomRight" state="frozen"/>
      <selection pane="topRight" activeCell="B1" sqref="B1"/>
      <selection pane="bottomLeft" activeCell="A2" sqref="A2"/>
      <selection pane="bottomRight" activeCell="N222" sqref="N222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26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378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387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394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22" si="15">LN(C220/C219)</f>
        <v>5.8655326653686257E-5</v>
      </c>
      <c r="H220">
        <v>6.8302350000000001</v>
      </c>
      <c r="I220" s="25">
        <f t="shared" ref="I220:I222" si="16">LN(H220/H219)</f>
        <v>1.1859738836099735E-4</v>
      </c>
      <c r="J220">
        <v>6.8346549999999997</v>
      </c>
      <c r="K220" s="25">
        <f t="shared" ref="K220:K222" si="17">LN(J220/J219)</f>
        <v>6.0958008553464011E-4</v>
      </c>
      <c r="L220">
        <v>6.837275</v>
      </c>
      <c r="M220" s="25">
        <f t="shared" ref="M220:M222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398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400</v>
      </c>
    </row>
    <row r="223" spans="1:14" x14ac:dyDescent="0.15">
      <c r="A223" s="1">
        <v>42913</v>
      </c>
      <c r="B223" s="41">
        <f t="shared" si="14"/>
        <v>2</v>
      </c>
    </row>
    <row r="224" spans="1:14" x14ac:dyDescent="0.15">
      <c r="A224" s="1">
        <v>42914</v>
      </c>
      <c r="B224" s="41">
        <f t="shared" si="14"/>
        <v>3</v>
      </c>
    </row>
    <row r="225" spans="1:2" x14ac:dyDescent="0.15">
      <c r="A225" s="1">
        <v>42915</v>
      </c>
      <c r="B225" s="41">
        <f t="shared" si="14"/>
        <v>4</v>
      </c>
    </row>
    <row r="226" spans="1:2" x14ac:dyDescent="0.15">
      <c r="A226" s="1">
        <v>42916</v>
      </c>
      <c r="B226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280"/>
  <sheetViews>
    <sheetView tabSelected="1" zoomScale="115" zoomScaleNormal="115" workbookViewId="0">
      <pane xSplit="2" ySplit="6" topLeftCell="C259" activePane="bottomRight" state="frozen"/>
      <selection pane="topRight" activeCell="C1" sqref="C1"/>
      <selection pane="bottomLeft" activeCell="A3" sqref="A3"/>
      <selection pane="bottomRight" activeCell="G276" sqref="G276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 x14ac:dyDescent="0.15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276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 x14ac:dyDescent="0.15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 x14ac:dyDescent="0.15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 x14ac:dyDescent="0.15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 x14ac:dyDescent="0.15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 x14ac:dyDescent="0.15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 x14ac:dyDescent="0.15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 x14ac:dyDescent="0.15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 x14ac:dyDescent="0.15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 x14ac:dyDescent="0.15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 x14ac:dyDescent="0.15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 x14ac:dyDescent="0.15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 x14ac:dyDescent="0.15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0.5" x14ac:dyDescent="0.1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 x14ac:dyDescent="0.15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 x14ac:dyDescent="0.15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 x14ac:dyDescent="0.15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 x14ac:dyDescent="0.15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 x14ac:dyDescent="0.15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 x14ac:dyDescent="0.15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 x14ac:dyDescent="0.15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4" x14ac:dyDescent="0.15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 x14ac:dyDescent="0.15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 x14ac:dyDescent="0.15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4" x14ac:dyDescent="0.15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 x14ac:dyDescent="0.15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 x14ac:dyDescent="0.15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 x14ac:dyDescent="0.15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 x14ac:dyDescent="0.15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 x14ac:dyDescent="0.15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 x14ac:dyDescent="0.15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 x14ac:dyDescent="0.15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 x14ac:dyDescent="0.15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 x14ac:dyDescent="0.15">
      <c r="A238" s="1">
        <v>42853</v>
      </c>
      <c r="B238" s="41">
        <f t="shared" ref="B238:B280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 x14ac:dyDescent="0.15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0.5" x14ac:dyDescent="0.1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 x14ac:dyDescent="0.15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 x14ac:dyDescent="0.15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 x14ac:dyDescent="0.15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 x14ac:dyDescent="0.15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 x14ac:dyDescent="0.15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 x14ac:dyDescent="0.15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 x14ac:dyDescent="0.15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 x14ac:dyDescent="0.15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 x14ac:dyDescent="0.15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 x14ac:dyDescent="0.15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 x14ac:dyDescent="0.15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 x14ac:dyDescent="0.15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 x14ac:dyDescent="0.15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 x14ac:dyDescent="0.15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 x14ac:dyDescent="0.15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 x14ac:dyDescent="0.15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 x14ac:dyDescent="0.15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 x14ac:dyDescent="0.15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 x14ac:dyDescent="0.15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 x14ac:dyDescent="0.15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 x14ac:dyDescent="0.15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 x14ac:dyDescent="0.15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 x14ac:dyDescent="0.15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 x14ac:dyDescent="0.15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 x14ac:dyDescent="0.15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 x14ac:dyDescent="0.15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 x14ac:dyDescent="0.15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 x14ac:dyDescent="0.15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 x14ac:dyDescent="0.15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 x14ac:dyDescent="0.15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 x14ac:dyDescent="0.15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 x14ac:dyDescent="0.15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 x14ac:dyDescent="0.15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 x14ac:dyDescent="0.15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 x14ac:dyDescent="0.15">
      <c r="A277" s="1">
        <v>42913</v>
      </c>
      <c r="B277" s="41">
        <f t="shared" si="248"/>
        <v>2</v>
      </c>
    </row>
    <row r="278" spans="1:62" x14ac:dyDescent="0.15">
      <c r="A278" s="1">
        <v>42914</v>
      </c>
      <c r="B278" s="41">
        <f t="shared" si="248"/>
        <v>3</v>
      </c>
    </row>
    <row r="279" spans="1:62" x14ac:dyDescent="0.15">
      <c r="A279" s="1">
        <v>42915</v>
      </c>
      <c r="B279" s="41">
        <f t="shared" si="248"/>
        <v>4</v>
      </c>
    </row>
    <row r="280" spans="1:62" x14ac:dyDescent="0.15">
      <c r="A280" s="1">
        <v>42916</v>
      </c>
      <c r="B280" s="41">
        <f t="shared" si="24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63"/>
  <sheetViews>
    <sheetView zoomScale="115" zoomScaleNormal="115" workbookViewId="0">
      <pane xSplit="1" ySplit="2" topLeftCell="B335" activePane="bottomRight" state="frozen"/>
      <selection pane="topRight" activeCell="B1" sqref="B1"/>
      <selection pane="bottomLeft" activeCell="A3" sqref="A3"/>
      <selection pane="bottomRight" activeCell="D359" sqref="D359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59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379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381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388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395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>+K356/J356-1</f>
        <v>1.1780868967885993E-2</v>
      </c>
      <c r="M356">
        <f t="shared" ref="M356:M357" si="271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>+K357/J357-1</f>
        <v>7.7121396743267123E-3</v>
      </c>
      <c r="M357">
        <f t="shared" si="271"/>
        <v>4</v>
      </c>
    </row>
    <row r="358" spans="1:14" x14ac:dyDescent="0.15">
      <c r="A358" s="1">
        <v>42909</v>
      </c>
      <c r="B358">
        <v>12.3</v>
      </c>
      <c r="C358" s="25">
        <f t="shared" ref="C358" si="272">B358/B357-1</f>
        <v>9.8522167487684609E-3</v>
      </c>
      <c r="D358" s="26">
        <f t="shared" ref="D358" si="273">+F357*(1+L358)</f>
        <v>12.621461556668795</v>
      </c>
      <c r="E358" s="26">
        <f>D358*(1-VLOOKUP(A358,FX!A:K,9,0))</f>
        <v>12.602571876429208</v>
      </c>
      <c r="F358">
        <v>12.61</v>
      </c>
      <c r="G358" s="25">
        <f>+B358/D358-1</f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>+K358/J358-1</f>
        <v>7.2994059592015326E-3</v>
      </c>
      <c r="M358">
        <f t="shared" ref="M358" si="274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5">B359/B358-1</f>
        <v>9.7560975609756184E-3</v>
      </c>
      <c r="D359" s="26">
        <f t="shared" ref="D359" si="276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>+B359/D359-1</f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>+K359/J359-1</f>
        <v>6.5354127668488804E-3</v>
      </c>
      <c r="M359">
        <f t="shared" ref="M359" si="277">WEEKDAY(A359,2)</f>
        <v>1</v>
      </c>
    </row>
    <row r="360" spans="1:14" x14ac:dyDescent="0.15">
      <c r="A360" s="1">
        <v>42913</v>
      </c>
    </row>
    <row r="361" spans="1:14" x14ac:dyDescent="0.15">
      <c r="A361" s="1">
        <v>42914</v>
      </c>
    </row>
    <row r="362" spans="1:14" x14ac:dyDescent="0.15">
      <c r="A362" s="1">
        <v>42915</v>
      </c>
    </row>
    <row r="363" spans="1:14" x14ac:dyDescent="0.15">
      <c r="A363" s="1">
        <v>42916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62"/>
  <sheetViews>
    <sheetView zoomScale="115" zoomScaleNormal="115" workbookViewId="0">
      <pane xSplit="1" ySplit="2" topLeftCell="B334" activePane="bottomRight" state="frozen"/>
      <selection pane="topRight" activeCell="B1" sqref="B1"/>
      <selection pane="bottomLeft" activeCell="A3" sqref="A3"/>
      <selection pane="bottomRight" activeCell="B358" sqref="B35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377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3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3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3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3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58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3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3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3" x14ac:dyDescent="0.15">
      <c r="A359" s="1">
        <v>42913</v>
      </c>
    </row>
    <row r="360" spans="1:13" x14ac:dyDescent="0.15">
      <c r="A360" s="1">
        <v>42914</v>
      </c>
    </row>
    <row r="361" spans="1:13" x14ac:dyDescent="0.15">
      <c r="A361" s="1">
        <v>42915</v>
      </c>
    </row>
    <row r="362" spans="1:13" x14ac:dyDescent="0.15">
      <c r="A362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63"/>
  <sheetViews>
    <sheetView zoomScale="115" zoomScaleNormal="115" workbookViewId="0">
      <pane xSplit="1" ySplit="2" topLeftCell="B333" activePane="bottomRight" state="frozen"/>
      <selection pane="topRight" activeCell="B1" sqref="B1"/>
      <selection pane="bottomLeft" activeCell="A3" sqref="A3"/>
      <selection pane="bottomRight" activeCell="B359" sqref="B35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380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385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390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389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59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15">
      <c r="A360" s="1">
        <v>42913</v>
      </c>
    </row>
    <row r="361" spans="1:13" x14ac:dyDescent="0.15">
      <c r="A361" s="1">
        <v>42914</v>
      </c>
    </row>
    <row r="362" spans="1:13" x14ac:dyDescent="0.15">
      <c r="A362" s="1">
        <v>42915</v>
      </c>
    </row>
    <row r="363" spans="1:13" x14ac:dyDescent="0.15">
      <c r="A363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63"/>
  <sheetViews>
    <sheetView zoomScale="115" zoomScaleNormal="115" workbookViewId="0">
      <pane xSplit="1" ySplit="2" topLeftCell="B335" activePane="bottomRight" state="frozen"/>
      <selection pane="topRight" activeCell="B1" sqref="B1"/>
      <selection pane="bottomLeft" activeCell="A3" sqref="A3"/>
      <selection pane="bottomRight" activeCell="B359" sqref="B35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(+B238/(D238*(1-VLOOKUP(A238,FX!A:K,9,0)))-1)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>(+B239/(D239*(1-VLOOKUP(A239,FX!A:K,9,0)))-1)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>(+B240/(D240*(1-VLOOKUP(A240,FX!A:K,9,0)))-1)</f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>(+B241/(D241*(1-VLOOKUP(A241,FX!A:K,9,0)))-1)</f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5">+B242/D242-1</f>
        <v>-2.9016584841882187E-3</v>
      </c>
      <c r="H242" s="42">
        <f>(+B242/(D242*(1-VLOOKUP(A242,FX!A:K,9,0)))-1)</f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5"/>
        <v>-5.1978499150262536E-3</v>
      </c>
      <c r="H243" s="42">
        <f>(+B243/(D243*(1-VLOOKUP(A243,FX!A:K,9,0)))-1)</f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5"/>
        <v>4.5083539260981631E-3</v>
      </c>
      <c r="H244" s="42">
        <f>(+B244/(D244*(1-VLOOKUP(A244,FX!A:K,9,0)))-1)</f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5"/>
        <v>3.1084641465837226E-3</v>
      </c>
      <c r="H245" s="42">
        <f>(+B245/(D245*(1-VLOOKUP(A245,FX!A:K,9,0)))-1)</f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5"/>
        <v>1.3201614063560463E-3</v>
      </c>
      <c r="H246" s="42">
        <f>(+B246/(D246*(1-VLOOKUP(A246,FX!A:K,9,0)))-1)</f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5"/>
        <v>-1.6616142941423551E-3</v>
      </c>
      <c r="H247" s="42">
        <f>(+B247/(D247*(1-VLOOKUP(A247,FX!A:K,9,0)))-1)</f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5"/>
        <v>3.1757341817417739E-4</v>
      </c>
      <c r="H248" s="42">
        <f>(+B248/(D248*(1-VLOOKUP(A248,FX!A:K,9,0)))-1)</f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6">B249/B248-1</f>
        <v>-1.2919896640828377E-3</v>
      </c>
      <c r="D249" s="26">
        <f t="shared" ref="D249:D269" si="77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5"/>
        <v>-6.3296570385062978E-7</v>
      </c>
      <c r="H249" s="42">
        <f>(+B249/(D249*(1-VLOOKUP(A249,FX!A:K,9,0)))-1)</f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6"/>
        <v>7.7619663648125226E-3</v>
      </c>
      <c r="D250" s="26">
        <f t="shared" si="77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5"/>
        <v>1.1081585773877745E-3</v>
      </c>
      <c r="H250" s="42">
        <f>(+B250/(D250*(1-VLOOKUP(A250,FX!A:K,9,0)))-1)</f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6"/>
        <v>3.8510911424902705E-3</v>
      </c>
      <c r="D251" s="26">
        <f t="shared" si="77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5"/>
        <v>3.323559436705148E-3</v>
      </c>
      <c r="H251" s="42">
        <f>(+B251/(D251*(1-VLOOKUP(A251,FX!A:K,9,0)))-1)</f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6"/>
        <v>0</v>
      </c>
      <c r="D252" s="26">
        <f t="shared" si="77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5"/>
        <v>-3.1454231551897305E-4</v>
      </c>
      <c r="H252" s="42">
        <f>(+B252/(D252*(1-VLOOKUP(A252,FX!A:K,9,0)))-1)</f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6"/>
        <v>2.5575447570331811E-3</v>
      </c>
      <c r="D253" s="26">
        <f t="shared" si="77"/>
        <v>39.266216980191331</v>
      </c>
      <c r="E253" s="26">
        <f>D253*(1-VLOOKUP(A253,FX!A:K,9,0))</f>
        <v>39.193400208576989</v>
      </c>
      <c r="F253">
        <v>39.195</v>
      </c>
      <c r="G253" s="25">
        <f t="shared" si="75"/>
        <v>-1.6863600642947896E-3</v>
      </c>
      <c r="H253" s="42">
        <f>(+B253/(D253*(1-VLOOKUP(A253,FX!A:K,9,0)))-1)</f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6"/>
        <v>7.6530612244898322E-3</v>
      </c>
      <c r="D254" s="26">
        <f t="shared" si="77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5"/>
        <v>4.1953121637088309E-3</v>
      </c>
      <c r="H254" s="42">
        <f>(+B254/(D254*(1-VLOOKUP(A254,FX!A:K,9,0)))-1)</f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6"/>
        <v>-5.0632911392405333E-3</v>
      </c>
      <c r="D255" s="26">
        <f t="shared" si="77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5"/>
        <v>-1.0167768174886849E-3</v>
      </c>
      <c r="H255" s="42">
        <f>(+B255/(D255*(1-VLOOKUP(A255,FX!A:K,9,0)))-1)</f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6"/>
        <v>5.0890585241731845E-3</v>
      </c>
      <c r="D256" s="26">
        <f t="shared" si="77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5"/>
        <v>4.0671072699540733E-3</v>
      </c>
      <c r="H256" s="42">
        <f>(+B256/(D256*(1-VLOOKUP(A256,FX!A:K,9,0)))-1)</f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6"/>
        <v>-2.5316455696202667E-3</v>
      </c>
      <c r="D257" s="26">
        <f t="shared" si="77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5"/>
        <v>1.5251652262326942E-3</v>
      </c>
      <c r="H257" s="42">
        <f>(+B257/(D257*(1-VLOOKUP(A257,FX!A:K,9,0)))-1)</f>
        <v>-1.4014331986638151E-3</v>
      </c>
      <c r="I257" s="25">
        <f t="shared" ref="I257:I263" si="78">+B257/F257-1</f>
        <v>1.5251652262326942E-3</v>
      </c>
      <c r="J257">
        <v>3387.9605999999999</v>
      </c>
      <c r="K257">
        <v>3387.9605999999999</v>
      </c>
      <c r="L257" s="25">
        <f t="shared" ref="L257:L271" si="79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6"/>
        <v>-6.3451776649746661E-3</v>
      </c>
      <c r="D258" s="26">
        <f t="shared" si="77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5"/>
        <v>2.1119088208159109E-3</v>
      </c>
      <c r="H258" s="42">
        <f>(+B258/(D258*(1-VLOOKUP(A258,FX!A:K,9,0)))-1)</f>
        <v>3.1124170569469811E-3</v>
      </c>
      <c r="I258" s="25">
        <f t="shared" si="78"/>
        <v>1.1251470362603211E-3</v>
      </c>
      <c r="J258">
        <v>3387.9605999999999</v>
      </c>
      <c r="K258">
        <v>3364.4922999999999</v>
      </c>
      <c r="L258" s="25">
        <f t="shared" si="79"/>
        <v>-6.9269695757382399E-3</v>
      </c>
      <c r="M258">
        <f t="shared" ref="M258:M281" si="80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6"/>
        <v>3.8314176245211051E-3</v>
      </c>
      <c r="D259" s="26">
        <f t="shared" si="77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5"/>
        <v>2.3651178675867524E-3</v>
      </c>
      <c r="H259" s="42">
        <f>(+B259/(D259*(1-VLOOKUP(A259,FX!A:K,9,0)))-1)</f>
        <v>-1.1527676420153288E-4</v>
      </c>
      <c r="I259" s="25">
        <f t="shared" si="78"/>
        <v>4.0729049994903122E-4</v>
      </c>
      <c r="J259">
        <v>3364.4922999999999</v>
      </c>
      <c r="K259">
        <v>3373.2051000000001</v>
      </c>
      <c r="L259" s="25">
        <f t="shared" si="79"/>
        <v>2.5896329143033636E-3</v>
      </c>
      <c r="M259">
        <f t="shared" si="80"/>
        <v>1</v>
      </c>
    </row>
    <row r="260" spans="1:14" x14ac:dyDescent="0.15">
      <c r="A260" s="1">
        <v>42773</v>
      </c>
      <c r="B260">
        <v>39.049999999999997</v>
      </c>
      <c r="C260" s="25">
        <f t="shared" si="76"/>
        <v>-6.3613231552163141E-3</v>
      </c>
      <c r="D260" s="26">
        <f t="shared" si="77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5"/>
        <v>-3.7355585418271664E-3</v>
      </c>
      <c r="H260" s="42">
        <f>(+B260/(D260*(1-VLOOKUP(A260,FX!A:K,9,0)))-1)</f>
        <v>-1.830290336593321E-3</v>
      </c>
      <c r="I260" s="25">
        <f t="shared" si="78"/>
        <v>-2.0189629175292323E-3</v>
      </c>
      <c r="J260">
        <v>3373.2051000000001</v>
      </c>
      <c r="K260">
        <v>3365.6849000000002</v>
      </c>
      <c r="L260" s="25">
        <f t="shared" si="79"/>
        <v>-2.22939304817249E-3</v>
      </c>
      <c r="M260">
        <f t="shared" si="80"/>
        <v>2</v>
      </c>
    </row>
    <row r="261" spans="1:14" x14ac:dyDescent="0.15">
      <c r="A261" s="1">
        <v>42774</v>
      </c>
      <c r="B261">
        <v>39.1</v>
      </c>
      <c r="C261" s="25">
        <f t="shared" si="76"/>
        <v>1.2804097311140961E-3</v>
      </c>
      <c r="D261" s="26">
        <f t="shared" si="77"/>
        <v>39.333648948004601</v>
      </c>
      <c r="E261" s="26">
        <f>D261*(1-VLOOKUP(A261,FX!A:K,9,0))</f>
        <v>39.183345593552893</v>
      </c>
      <c r="F261">
        <v>39.186</v>
      </c>
      <c r="G261" s="25">
        <f t="shared" si="75"/>
        <v>-5.9401798270346529E-3</v>
      </c>
      <c r="H261" s="42">
        <f>(+B261/(D261*(1-VLOOKUP(A261,FX!A:K,9,0)))-1)</f>
        <v>-2.1270668007125071E-3</v>
      </c>
      <c r="I261" s="25">
        <f t="shared" si="78"/>
        <v>-2.1946613586484309E-3</v>
      </c>
      <c r="J261">
        <v>3365.6849000000002</v>
      </c>
      <c r="K261">
        <v>3383.2878000000001</v>
      </c>
      <c r="L261" s="25">
        <f t="shared" si="79"/>
        <v>5.2301093307931534E-3</v>
      </c>
      <c r="M261">
        <f t="shared" si="80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6"/>
        <v>3.8363171355497716E-3</v>
      </c>
      <c r="D262" s="26">
        <f t="shared" si="77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5"/>
        <v>-2.2020752244271691E-3</v>
      </c>
      <c r="H262" s="42">
        <f>(+B262/(D262*(1-VLOOKUP(A262,FX!A:K,9,0)))-1)</f>
        <v>-1.1517154541007546E-3</v>
      </c>
      <c r="I262" s="25">
        <f t="shared" si="78"/>
        <v>-1.2976769038955949E-3</v>
      </c>
      <c r="J262">
        <v>3383.2878000000001</v>
      </c>
      <c r="K262">
        <v>3396.2923999999998</v>
      </c>
      <c r="L262" s="25">
        <f t="shared" si="79"/>
        <v>3.8437758679588097E-3</v>
      </c>
      <c r="M262">
        <f t="shared" si="80"/>
        <v>4</v>
      </c>
    </row>
    <row r="263" spans="1:14" x14ac:dyDescent="0.15">
      <c r="A263" s="1">
        <v>42776</v>
      </c>
      <c r="B263">
        <v>39.549999999999997</v>
      </c>
      <c r="C263" s="25">
        <f t="shared" si="76"/>
        <v>7.6433121019108263E-3</v>
      </c>
      <c r="D263" s="26">
        <f t="shared" si="77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5"/>
        <v>1.2666070077143043E-3</v>
      </c>
      <c r="H263" s="42">
        <f>(+B263/(D263*(1-VLOOKUP(A263,FX!A:K,9,0)))-1)</f>
        <v>3.6225467358526053E-3</v>
      </c>
      <c r="I263" s="25">
        <f t="shared" si="78"/>
        <v>3.4250919700620219E-3</v>
      </c>
      <c r="J263">
        <v>3396.2923999999998</v>
      </c>
      <c r="K263">
        <v>3413.4868000000001</v>
      </c>
      <c r="L263" s="25">
        <f t="shared" si="79"/>
        <v>5.0626971929743636E-3</v>
      </c>
      <c r="M263">
        <f t="shared" si="80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6"/>
        <v>3.7926675094817064E-3</v>
      </c>
      <c r="D264" s="26">
        <f t="shared" si="77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5"/>
        <v>5.5114002948197793E-4</v>
      </c>
      <c r="H264" s="42">
        <f>(+B264/(D264*(1-VLOOKUP(A264,FX!A:K,9,0)))-1)</f>
        <v>2.5785999721321673E-3</v>
      </c>
      <c r="I264" s="25">
        <f t="shared" ref="I264:I298" si="81">+B264/F264-1</f>
        <v>2.4239975760025345E-3</v>
      </c>
      <c r="J264">
        <v>3413.4868000000001</v>
      </c>
      <c r="K264">
        <v>3436.2750000000001</v>
      </c>
      <c r="L264" s="25">
        <f t="shared" si="79"/>
        <v>6.6759303126644465E-3</v>
      </c>
      <c r="M264">
        <f t="shared" si="80"/>
        <v>1</v>
      </c>
    </row>
    <row r="265" spans="1:14" x14ac:dyDescent="0.15">
      <c r="A265" s="1">
        <v>42780</v>
      </c>
      <c r="B265">
        <v>39.700000000000003</v>
      </c>
      <c r="C265" s="25">
        <f t="shared" si="76"/>
        <v>0</v>
      </c>
      <c r="D265" s="26">
        <f t="shared" si="77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5"/>
        <v>2.5613573295237835E-3</v>
      </c>
      <c r="H265" s="42">
        <f>(+B265/(D265*(1-VLOOKUP(A265,FX!A:K,9,0)))-1)</f>
        <v>1.4660198284444093E-5</v>
      </c>
      <c r="I265" s="25">
        <f t="shared" si="81"/>
        <v>-2.0147073637544199E-4</v>
      </c>
      <c r="J265">
        <v>3436.2750000000001</v>
      </c>
      <c r="K265">
        <v>3435.8042</v>
      </c>
      <c r="L265" s="25">
        <f t="shared" si="79"/>
        <v>-1.3700882496314737E-4</v>
      </c>
      <c r="M265">
        <f t="shared" si="80"/>
        <v>2</v>
      </c>
    </row>
    <row r="266" spans="1:14" x14ac:dyDescent="0.15">
      <c r="A266" s="1">
        <v>42781</v>
      </c>
      <c r="B266">
        <v>39.549999999999997</v>
      </c>
      <c r="C266" s="25">
        <f t="shared" si="76"/>
        <v>-3.7783375314862644E-3</v>
      </c>
      <c r="D266" s="26">
        <f t="shared" si="77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5"/>
        <v>1.2270855093921007E-4</v>
      </c>
      <c r="H266" s="42">
        <f>(+B266/(D266*(1-VLOOKUP(A266,FX!A:K,9,0)))-1)</f>
        <v>-1.4644530087617458E-3</v>
      </c>
      <c r="I266" s="25">
        <f t="shared" si="81"/>
        <v>-1.4895604534324036E-3</v>
      </c>
      <c r="J266">
        <v>3435.8042</v>
      </c>
      <c r="K266">
        <v>3421.7130999999999</v>
      </c>
      <c r="L266" s="25">
        <f t="shared" si="79"/>
        <v>-4.1012523356249719E-3</v>
      </c>
      <c r="M266">
        <f t="shared" si="80"/>
        <v>3</v>
      </c>
    </row>
    <row r="267" spans="1:14" x14ac:dyDescent="0.15">
      <c r="A267" s="1">
        <v>42782</v>
      </c>
      <c r="B267">
        <v>39.75</v>
      </c>
      <c r="C267" s="25">
        <f t="shared" si="76"/>
        <v>5.0568900126422012E-3</v>
      </c>
      <c r="D267" s="26">
        <f t="shared" si="77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5"/>
        <v>-2.0457811044318763E-3</v>
      </c>
      <c r="H267" s="42">
        <f>(+B267/(D267*(1-VLOOKUP(A267,FX!A:K,9,0)))-1)</f>
        <v>-2.8537675691996389E-3</v>
      </c>
      <c r="I267" s="25">
        <f t="shared" si="81"/>
        <v>-2.7346396046062926E-3</v>
      </c>
      <c r="J267">
        <v>3421.7130999999999</v>
      </c>
      <c r="K267">
        <v>3440.9331000000002</v>
      </c>
      <c r="L267" s="25">
        <f t="shared" si="79"/>
        <v>5.6170694147326117E-3</v>
      </c>
      <c r="M267">
        <f t="shared" si="80"/>
        <v>4</v>
      </c>
    </row>
    <row r="268" spans="1:14" x14ac:dyDescent="0.15">
      <c r="A268" s="1">
        <v>42783</v>
      </c>
      <c r="B268">
        <v>39.6</v>
      </c>
      <c r="C268" s="25">
        <f t="shared" si="76"/>
        <v>-3.7735849056603765E-3</v>
      </c>
      <c r="D268" s="26">
        <f t="shared" si="77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5"/>
        <v>-8.381427703605393E-4</v>
      </c>
      <c r="H268" s="42">
        <f>(+B268/(D268*(1-VLOOKUP(A268,FX!A:K,9,0)))-1)</f>
        <v>-3.151784801003199E-5</v>
      </c>
      <c r="I268" s="25">
        <f t="shared" si="81"/>
        <v>7.5763315402710418E-5</v>
      </c>
      <c r="J268">
        <v>3440.9331000000002</v>
      </c>
      <c r="K268">
        <v>3421.4418999999998</v>
      </c>
      <c r="L268" s="25">
        <f t="shared" si="79"/>
        <v>-5.6645100132869386E-3</v>
      </c>
      <c r="M268">
        <f t="shared" si="80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6"/>
        <v>1.388888888888884E-2</v>
      </c>
      <c r="D269" s="26">
        <f t="shared" si="77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5"/>
        <v>-6.2449103410622264E-4</v>
      </c>
      <c r="H269" s="42">
        <f>(+B269/(D269*(1-VLOOKUP(A269,FX!A:K,9,0)))-1)</f>
        <v>-1.2004327575740881E-3</v>
      </c>
      <c r="I269" s="25">
        <f t="shared" si="81"/>
        <v>-1.2437810945274963E-3</v>
      </c>
      <c r="J269">
        <v>3421.4418999999998</v>
      </c>
      <c r="K269">
        <v>3471.3926000000001</v>
      </c>
      <c r="L269" s="25">
        <f t="shared" si="79"/>
        <v>1.4599312646519147E-2</v>
      </c>
      <c r="M269">
        <f t="shared" si="80"/>
        <v>1</v>
      </c>
    </row>
    <row r="270" spans="1:14" x14ac:dyDescent="0.15">
      <c r="A270" s="1">
        <v>42787</v>
      </c>
      <c r="B270">
        <v>40.049999999999997</v>
      </c>
      <c r="C270" s="25">
        <f t="shared" si="76"/>
        <v>-2.4906600249066102E-3</v>
      </c>
      <c r="D270" s="26">
        <f t="shared" ref="D270:D275" si="82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3">+B270/D270-1</f>
        <v>-7.0010326286139568E-3</v>
      </c>
      <c r="H270" s="42">
        <f>(+B270/(D270*(1-VLOOKUP(A270,FX!A:K,9,0)))-1)</f>
        <v>-4.656467785421059E-3</v>
      </c>
      <c r="I270" s="25">
        <f t="shared" si="81"/>
        <v>-4.6227259170891211E-3</v>
      </c>
      <c r="J270">
        <v>3471.3926000000001</v>
      </c>
      <c r="K270">
        <v>3482.8229999999999</v>
      </c>
      <c r="L270" s="25">
        <f t="shared" si="79"/>
        <v>3.2927419387827062E-3</v>
      </c>
      <c r="M270">
        <f t="shared" si="80"/>
        <v>2</v>
      </c>
    </row>
    <row r="271" spans="1:14" x14ac:dyDescent="0.15">
      <c r="A271" s="1">
        <v>42788</v>
      </c>
      <c r="B271">
        <v>40.25</v>
      </c>
      <c r="C271" s="25">
        <f t="shared" si="76"/>
        <v>4.993757802746579E-3</v>
      </c>
      <c r="D271" s="26">
        <f t="shared" si="82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3"/>
        <v>-1.6396162504414002E-3</v>
      </c>
      <c r="H271" s="42">
        <f>(+B271/(D271*(1-VLOOKUP(A271,FX!A:K,9,0)))-1)</f>
        <v>-1.8577568371958009E-3</v>
      </c>
      <c r="I271" s="25">
        <f t="shared" si="81"/>
        <v>-2.2805017103763037E-3</v>
      </c>
      <c r="J271">
        <v>3482.8229999999999</v>
      </c>
      <c r="K271">
        <v>3489.7566999999999</v>
      </c>
      <c r="L271" s="25">
        <f t="shared" si="79"/>
        <v>1.9908275556925759E-3</v>
      </c>
      <c r="M271">
        <f t="shared" si="80"/>
        <v>3</v>
      </c>
    </row>
    <row r="272" spans="1:14" x14ac:dyDescent="0.15">
      <c r="A272" s="1">
        <v>42789</v>
      </c>
      <c r="B272">
        <v>40.1</v>
      </c>
      <c r="C272" s="25">
        <f t="shared" si="76"/>
        <v>-3.7267080745341241E-3</v>
      </c>
      <c r="D272" s="26">
        <f t="shared" si="82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3"/>
        <v>-1.29586024639472E-3</v>
      </c>
      <c r="H272" s="42">
        <f>(+B272/(D272*(1-VLOOKUP(A272,FX!A:K,9,0)))-1)</f>
        <v>-1.0811880572952903E-3</v>
      </c>
      <c r="I272" s="25">
        <f t="shared" si="81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0"/>
        <v>4</v>
      </c>
    </row>
    <row r="273" spans="1:14" x14ac:dyDescent="0.15">
      <c r="A273" s="1">
        <v>42790</v>
      </c>
      <c r="B273">
        <v>40.049999999999997</v>
      </c>
      <c r="C273" s="25">
        <f t="shared" si="76"/>
        <v>-1.2468827930175452E-3</v>
      </c>
      <c r="D273" s="26">
        <f t="shared" si="82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3"/>
        <v>-2.5926187951911261E-3</v>
      </c>
      <c r="H273" s="42">
        <f>(+B273/(D273*(1-VLOOKUP(A273,FX!A:K,9,0)))-1)</f>
        <v>-3.5729431963710256E-3</v>
      </c>
      <c r="I273" s="25">
        <f t="shared" si="81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0"/>
        <v>5</v>
      </c>
    </row>
    <row r="274" spans="1:14" x14ac:dyDescent="0.15">
      <c r="A274" s="1">
        <v>42793</v>
      </c>
      <c r="B274">
        <v>39.75</v>
      </c>
      <c r="C274" s="25">
        <f t="shared" si="76"/>
        <v>-7.4906367041197575E-3</v>
      </c>
      <c r="D274" s="26">
        <f t="shared" si="82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3"/>
        <v>-3.588842311699536E-3</v>
      </c>
      <c r="H274" s="42">
        <f>(+B274/(D274*(1-VLOOKUP(A274,FX!A:K,9,0)))-1)</f>
        <v>-3.1928146006990898E-3</v>
      </c>
      <c r="I274" s="25">
        <f t="shared" si="81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0"/>
        <v>1</v>
      </c>
    </row>
    <row r="275" spans="1:14" x14ac:dyDescent="0.15">
      <c r="A275" s="1">
        <v>42794</v>
      </c>
      <c r="B275">
        <v>39.700000000000003</v>
      </c>
      <c r="C275" s="25">
        <f t="shared" si="76"/>
        <v>-1.2578616352200145E-3</v>
      </c>
      <c r="D275" s="26">
        <f t="shared" si="82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3"/>
        <v>-5.1405329628350094E-3</v>
      </c>
      <c r="H275" s="42">
        <f>(+B275/(D275*(1-VLOOKUP(A275,FX!A:K,9,0)))-1)</f>
        <v>-5.9667951395335761E-3</v>
      </c>
      <c r="I275" s="25">
        <f t="shared" si="81"/>
        <v>-5.9592368170664489E-3</v>
      </c>
      <c r="J275">
        <v>3446.2228</v>
      </c>
      <c r="K275">
        <v>3452.8103000000001</v>
      </c>
      <c r="L275" s="25">
        <f t="shared" ref="L275:L281" si="84">+K275/J275-1</f>
        <v>1.9115130919569179E-3</v>
      </c>
      <c r="M275">
        <f t="shared" si="80"/>
        <v>2</v>
      </c>
    </row>
    <row r="276" spans="1:14" x14ac:dyDescent="0.15">
      <c r="A276" s="1">
        <v>42795</v>
      </c>
      <c r="B276">
        <v>39.799999999999997</v>
      </c>
      <c r="C276" s="25">
        <f t="shared" si="76"/>
        <v>2.5188916876572875E-3</v>
      </c>
      <c r="D276" s="26">
        <f t="shared" ref="D276:D318" si="85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6">+B276/D276-1</f>
        <v>-5.0768555435430907E-3</v>
      </c>
      <c r="H276" s="42">
        <f>(+B276/(D276*(1-VLOOKUP(A276,FX!A:K,9,0)))-1)</f>
        <v>-2.7481296919817932E-3</v>
      </c>
      <c r="I276" s="25">
        <f t="shared" si="81"/>
        <v>-2.931081995140028E-3</v>
      </c>
      <c r="J276">
        <v>3452.8103000000001</v>
      </c>
      <c r="K276">
        <v>3458.4376000000002</v>
      </c>
      <c r="L276" s="25">
        <f t="shared" si="84"/>
        <v>1.6297738685500107E-3</v>
      </c>
      <c r="M276">
        <f t="shared" si="80"/>
        <v>3</v>
      </c>
    </row>
    <row r="277" spans="1:14" x14ac:dyDescent="0.15">
      <c r="A277" s="1">
        <v>42796</v>
      </c>
      <c r="B277">
        <v>39.4</v>
      </c>
      <c r="C277" s="25">
        <f t="shared" si="76"/>
        <v>-1.005025125628134E-2</v>
      </c>
      <c r="D277" s="26">
        <f t="shared" si="85"/>
        <v>39.64759665089808</v>
      </c>
      <c r="E277" s="26">
        <f>D277*(1-VLOOKUP(A277,FX!A:K,9,0))</f>
        <v>39.623367290881752</v>
      </c>
      <c r="F277">
        <v>39.628</v>
      </c>
      <c r="G277" s="25">
        <f t="shared" si="86"/>
        <v>-6.2449346697657226E-3</v>
      </c>
      <c r="H277" s="42">
        <f>(+B277/(D277*(1-VLOOKUP(A277,FX!A:K,9,0)))-1)</f>
        <v>-5.637261700702445E-3</v>
      </c>
      <c r="I277" s="25">
        <f t="shared" si="81"/>
        <v>-5.7535076208741209E-3</v>
      </c>
      <c r="J277">
        <v>3458.4376000000002</v>
      </c>
      <c r="K277">
        <v>3435.0963000000002</v>
      </c>
      <c r="L277" s="25">
        <f t="shared" si="84"/>
        <v>-6.749088085325039E-3</v>
      </c>
      <c r="M277">
        <f t="shared" si="80"/>
        <v>4</v>
      </c>
    </row>
    <row r="278" spans="1:14" x14ac:dyDescent="0.15">
      <c r="A278" s="1">
        <v>42797</v>
      </c>
      <c r="B278">
        <v>39.200000000000003</v>
      </c>
      <c r="C278" s="25">
        <f t="shared" si="76"/>
        <v>-5.0761421319795996E-3</v>
      </c>
      <c r="D278" s="26">
        <f t="shared" si="85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6"/>
        <v>-8.7130283250361762E-3</v>
      </c>
      <c r="H278" s="42">
        <f>(+B278/(D278*(1-VLOOKUP(A278,FX!A:K,9,0)))-1)</f>
        <v>-5.550173486865706E-3</v>
      </c>
      <c r="I278" s="25">
        <f t="shared" si="81"/>
        <v>-5.4800081185304439E-3</v>
      </c>
      <c r="J278">
        <v>3435.0963000000002</v>
      </c>
      <c r="K278">
        <v>3427.8627999999999</v>
      </c>
      <c r="L278" s="25">
        <f t="shared" si="84"/>
        <v>-2.1057633813643672E-3</v>
      </c>
      <c r="M278">
        <f t="shared" si="80"/>
        <v>5</v>
      </c>
    </row>
    <row r="279" spans="1:14" x14ac:dyDescent="0.15">
      <c r="A279" s="1">
        <v>42800</v>
      </c>
      <c r="B279">
        <v>39.4</v>
      </c>
      <c r="C279" s="25">
        <f t="shared" si="76"/>
        <v>5.1020408163264808E-3</v>
      </c>
      <c r="D279" s="26">
        <f t="shared" si="85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6"/>
        <v>-5.8066889161417778E-3</v>
      </c>
      <c r="H279" s="42">
        <f>(+B279/(D279*(1-VLOOKUP(A279,FX!A:K,9,0)))-1)</f>
        <v>-6.037311726726724E-3</v>
      </c>
      <c r="I279" s="25">
        <f t="shared" si="81"/>
        <v>-6.2049134843363829E-3</v>
      </c>
      <c r="J279">
        <v>3427.8627999999999</v>
      </c>
      <c r="K279">
        <v>3446.4839999999999</v>
      </c>
      <c r="L279" s="25">
        <f t="shared" si="84"/>
        <v>5.4323061004659667E-3</v>
      </c>
      <c r="M279">
        <f t="shared" si="80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6"/>
        <v>2.5380710659899108E-3</v>
      </c>
      <c r="D280" s="26">
        <f t="shared" si="85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6"/>
        <v>-5.8380847349560616E-3</v>
      </c>
      <c r="H280" s="42">
        <f>(+B280/(D280*(1-VLOOKUP(A280,FX!A:K,9,0)))-1)</f>
        <v>-5.6614425724297313E-3</v>
      </c>
      <c r="I280" s="25">
        <f t="shared" si="81"/>
        <v>-5.9391987114958411E-3</v>
      </c>
      <c r="J280">
        <v>3446.4839999999999</v>
      </c>
      <c r="K280">
        <v>3453.9564999999998</v>
      </c>
      <c r="L280" s="25">
        <f t="shared" si="84"/>
        <v>2.1681516583276217E-3</v>
      </c>
      <c r="M280">
        <f t="shared" si="80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7">B281/B280-1</f>
        <v>-1.2658227848100223E-3</v>
      </c>
      <c r="D281" s="26">
        <f t="shared" si="85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6"/>
        <v>-5.6933006285280197E-3</v>
      </c>
      <c r="H281" s="42">
        <f>(+B281/(D281*(1-VLOOKUP(A281,FX!A:K,9,0)))-1)</f>
        <v>-4.60053491730672E-3</v>
      </c>
      <c r="I281" s="25">
        <f t="shared" si="81"/>
        <v>-4.8684509245011665E-3</v>
      </c>
      <c r="J281">
        <v>3453.9564999999998</v>
      </c>
      <c r="K281">
        <v>3448.7312999999999</v>
      </c>
      <c r="L281" s="25">
        <f t="shared" si="84"/>
        <v>-1.512815809926904E-3</v>
      </c>
      <c r="M281">
        <f t="shared" si="80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7"/>
        <v>-7.6045627376426506E-3</v>
      </c>
      <c r="D282" s="26">
        <f t="shared" si="85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6"/>
        <v>-6.1573499316333047E-3</v>
      </c>
      <c r="H282" s="42">
        <f>(+B282/(D282*(1-VLOOKUP(A282,FX!A:K,9,0)))-1)</f>
        <v>-4.8681182311041127E-3</v>
      </c>
      <c r="I282" s="25">
        <f t="shared" si="81"/>
        <v>-2.5223572575098219E-3</v>
      </c>
      <c r="J282">
        <v>3448.7312999999999</v>
      </c>
      <c r="K282">
        <v>3426.9438</v>
      </c>
      <c r="L282" s="25">
        <f t="shared" ref="L282:L318" si="88">+K282/J282-1</f>
        <v>-6.317540598190341E-3</v>
      </c>
      <c r="M282">
        <f t="shared" ref="M282:M318" si="89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7"/>
        <v>0</v>
      </c>
      <c r="D283" s="26">
        <f t="shared" si="85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6"/>
        <v>-2.7981563258908659E-3</v>
      </c>
      <c r="H283" s="42">
        <f>(+B283/(D283*(1-VLOOKUP(A283,FX!A:K,9,0)))-1)</f>
        <v>-3.893887577559707E-3</v>
      </c>
      <c r="I283" s="25">
        <f t="shared" si="81"/>
        <v>-5.7647865505244811E-3</v>
      </c>
      <c r="J283">
        <v>3426.9438</v>
      </c>
      <c r="K283">
        <v>3427.8915999999999</v>
      </c>
      <c r="L283" s="25">
        <f t="shared" si="88"/>
        <v>2.7657296276628607E-4</v>
      </c>
      <c r="M283">
        <f t="shared" si="89"/>
        <v>5</v>
      </c>
    </row>
    <row r="284" spans="1:14" x14ac:dyDescent="0.15">
      <c r="A284" s="1">
        <v>42807</v>
      </c>
      <c r="B284">
        <v>39.549999999999997</v>
      </c>
      <c r="C284" s="25">
        <f t="shared" si="87"/>
        <v>1.0217113665389466E-2</v>
      </c>
      <c r="D284" s="26">
        <f t="shared" si="85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6"/>
        <v>-4.3799239678374846E-3</v>
      </c>
      <c r="H284" s="42">
        <f>(+B284/(D284*(1-VLOOKUP(A284,FX!A:K,9,0)))-1)</f>
        <v>-6.1230248544477117E-3</v>
      </c>
      <c r="I284" s="25">
        <f t="shared" si="81"/>
        <v>-5.856772993489745E-3</v>
      </c>
      <c r="J284">
        <v>3427.8915999999999</v>
      </c>
      <c r="K284">
        <v>3458.098</v>
      </c>
      <c r="L284" s="25">
        <f t="shared" si="88"/>
        <v>8.8119472622762984E-3</v>
      </c>
      <c r="M284">
        <f t="shared" si="89"/>
        <v>1</v>
      </c>
    </row>
    <row r="285" spans="1:14" x14ac:dyDescent="0.15">
      <c r="A285" s="1">
        <v>42808</v>
      </c>
      <c r="B285">
        <v>39.450000000000003</v>
      </c>
      <c r="C285" s="25">
        <f t="shared" si="87"/>
        <v>-2.5284450063209896E-3</v>
      </c>
      <c r="D285" s="26">
        <f t="shared" si="85"/>
        <v>39.766841058928925</v>
      </c>
      <c r="E285" s="26">
        <f>D285*(1-VLOOKUP(A285,FX!A:K,9,0))</f>
        <v>39.713512847827339</v>
      </c>
      <c r="F285">
        <v>39.75</v>
      </c>
      <c r="G285" s="25">
        <f t="shared" si="86"/>
        <v>-7.9674686369834991E-3</v>
      </c>
      <c r="H285" s="42">
        <f>(+B285/(D285*(1-VLOOKUP(A285,FX!A:K,9,0)))-1)</f>
        <v>-6.6353447210034666E-3</v>
      </c>
      <c r="I285" s="25">
        <f t="shared" si="81"/>
        <v>-7.547169811320642E-3</v>
      </c>
      <c r="J285">
        <v>3458.098</v>
      </c>
      <c r="K285">
        <v>3456.6934000000001</v>
      </c>
      <c r="L285" s="25">
        <f t="shared" si="88"/>
        <v>-4.0617703720369214E-4</v>
      </c>
      <c r="M285">
        <f t="shared" si="89"/>
        <v>2</v>
      </c>
    </row>
    <row r="286" spans="1:14" x14ac:dyDescent="0.15">
      <c r="A286" s="1">
        <v>42809</v>
      </c>
      <c r="B286">
        <v>39.700000000000003</v>
      </c>
      <c r="C286" s="25">
        <f t="shared" si="87"/>
        <v>6.3371356147021718E-3</v>
      </c>
      <c r="D286" s="26">
        <f t="shared" si="85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6"/>
        <v>-3.2619528211789151E-3</v>
      </c>
      <c r="H286" s="42">
        <f>(+B286/(D286*(1-VLOOKUP(A286,FX!A:K,9,0)))-1)</f>
        <v>-3.7997186150118267E-3</v>
      </c>
      <c r="I286" s="25">
        <f t="shared" si="81"/>
        <v>-3.8641039795251908E-3</v>
      </c>
      <c r="J286">
        <v>3456.6934000000001</v>
      </c>
      <c r="K286">
        <v>3463.6435999999999</v>
      </c>
      <c r="L286" s="25">
        <f t="shared" si="88"/>
        <v>2.0106498308469778E-3</v>
      </c>
      <c r="M286">
        <f t="shared" si="89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7"/>
        <v>1.0075566750629594E-2</v>
      </c>
      <c r="D287" s="26">
        <f t="shared" si="85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6"/>
        <v>1.0100348818358196E-3</v>
      </c>
      <c r="H287" s="42">
        <f>(+B287/(D287*(1-VLOOKUP(A287,FX!A:K,9,0)))-1)</f>
        <v>-3.4780765276908321E-3</v>
      </c>
      <c r="I287" s="25">
        <f t="shared" si="81"/>
        <v>-2.8844241098070489E-3</v>
      </c>
      <c r="J287">
        <v>3463.6435999999999</v>
      </c>
      <c r="K287">
        <v>3481.5066000000002</v>
      </c>
      <c r="L287" s="25">
        <f t="shared" si="88"/>
        <v>5.1572858131248012E-3</v>
      </c>
      <c r="M287">
        <f t="shared" si="89"/>
        <v>4</v>
      </c>
    </row>
    <row r="288" spans="1:14" x14ac:dyDescent="0.15">
      <c r="A288" s="1">
        <v>42811</v>
      </c>
      <c r="B288">
        <v>39.6</v>
      </c>
      <c r="C288" s="25">
        <f t="shared" si="87"/>
        <v>-1.2468827930174564E-2</v>
      </c>
      <c r="D288" s="26">
        <f t="shared" si="85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6"/>
        <v>-5.1151281229759871E-3</v>
      </c>
      <c r="H288" s="42">
        <f>(+B288/(D288*(1-VLOOKUP(A288,FX!A:K,9,0)))-1)</f>
        <v>-3.6980549412565233E-3</v>
      </c>
      <c r="I288" s="25">
        <f t="shared" si="81"/>
        <v>-3.8738240177088601E-3</v>
      </c>
      <c r="J288">
        <v>3481.5066000000002</v>
      </c>
      <c r="K288">
        <v>3445.8051</v>
      </c>
      <c r="L288" s="25">
        <f t="shared" si="88"/>
        <v>-1.0254612184276812E-2</v>
      </c>
      <c r="M288">
        <f t="shared" si="89"/>
        <v>5</v>
      </c>
    </row>
    <row r="289" spans="1:14" x14ac:dyDescent="0.15">
      <c r="A289" s="1">
        <v>42814</v>
      </c>
      <c r="B289">
        <v>39.75</v>
      </c>
      <c r="C289" s="25">
        <f t="shared" si="87"/>
        <v>3.7878787878786735E-3</v>
      </c>
      <c r="D289" s="26">
        <f t="shared" si="85"/>
        <v>39.797926847458662</v>
      </c>
      <c r="E289" s="26">
        <f>D289*(1-VLOOKUP(A289,FX!A:K,9,0))</f>
        <v>39.724358248404613</v>
      </c>
      <c r="F289">
        <v>39.72</v>
      </c>
      <c r="G289" s="25">
        <f t="shared" si="86"/>
        <v>-1.2042548759476635E-3</v>
      </c>
      <c r="H289" s="42">
        <f>(+B289/(D289*(1-VLOOKUP(A289,FX!A:K,9,0)))-1)</f>
        <v>6.4549190285334568E-4</v>
      </c>
      <c r="I289" s="25">
        <f t="shared" si="81"/>
        <v>7.5528700906346558E-4</v>
      </c>
      <c r="J289">
        <v>3445.8051</v>
      </c>
      <c r="K289">
        <v>3449.6125999999999</v>
      </c>
      <c r="L289" s="25">
        <f t="shared" si="88"/>
        <v>1.1049667318676626E-3</v>
      </c>
      <c r="M289">
        <f t="shared" si="89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7"/>
        <v>2.515723270440251E-3</v>
      </c>
      <c r="D290" s="26">
        <f t="shared" si="85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6"/>
        <v>-1.5705085076830327E-3</v>
      </c>
      <c r="H290" s="42">
        <f>(+B290/(D290*(1-VLOOKUP(A290,FX!A:K,9,0)))-1)</f>
        <v>-9.1821257150248581E-4</v>
      </c>
      <c r="I290" s="25">
        <f t="shared" si="81"/>
        <v>-1.3282209357691199E-3</v>
      </c>
      <c r="J290">
        <v>3449.6125999999999</v>
      </c>
      <c r="K290">
        <v>3466.3467999999998</v>
      </c>
      <c r="L290" s="25">
        <f t="shared" si="88"/>
        <v>4.8510374759183073E-3</v>
      </c>
      <c r="M290">
        <f t="shared" si="89"/>
        <v>2</v>
      </c>
    </row>
    <row r="291" spans="1:14" x14ac:dyDescent="0.15">
      <c r="A291" s="1">
        <v>42816</v>
      </c>
      <c r="B291">
        <v>39.75</v>
      </c>
      <c r="C291" s="25">
        <f t="shared" si="87"/>
        <v>-2.5094102885822034E-3</v>
      </c>
      <c r="D291" s="26">
        <f t="shared" si="85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6"/>
        <v>8.711736419180216E-4</v>
      </c>
      <c r="H291" s="42">
        <f>(+B291/(D291*(1-VLOOKUP(A291,FX!A:K,9,0)))-1)</f>
        <v>-3.2973106134226438E-3</v>
      </c>
      <c r="I291" s="25">
        <f t="shared" si="81"/>
        <v>-3.6345406692568361E-3</v>
      </c>
      <c r="J291">
        <v>3466.3467999999998</v>
      </c>
      <c r="K291">
        <v>3450.0502000000001</v>
      </c>
      <c r="L291" s="25">
        <f t="shared" si="88"/>
        <v>-4.7013761000485044E-3</v>
      </c>
      <c r="M291">
        <f t="shared" si="89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7"/>
        <v>1.2578616352201255E-3</v>
      </c>
      <c r="D292" s="26">
        <f t="shared" si="85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6"/>
        <v>-5.8184753275442036E-3</v>
      </c>
      <c r="H292" s="42">
        <f>(+B292/(D292*(1-VLOOKUP(A292,FX!A:K,9,0)))-1)</f>
        <v>-4.9674056375494935E-3</v>
      </c>
      <c r="I292" s="25">
        <f t="shared" si="81"/>
        <v>-4.5520484217899115E-3</v>
      </c>
      <c r="J292">
        <v>3450.0502000000001</v>
      </c>
      <c r="K292">
        <v>3461.9782</v>
      </c>
      <c r="L292" s="25">
        <f t="shared" si="88"/>
        <v>3.4573409975309222E-3</v>
      </c>
      <c r="M292">
        <f t="shared" si="89"/>
        <v>4</v>
      </c>
    </row>
    <row r="293" spans="1:14" x14ac:dyDescent="0.15">
      <c r="A293" s="1">
        <v>42818</v>
      </c>
      <c r="B293">
        <v>40.1</v>
      </c>
      <c r="C293" s="25">
        <f t="shared" si="87"/>
        <v>7.5376884422111434E-3</v>
      </c>
      <c r="D293" s="26">
        <f t="shared" si="85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6"/>
        <v>-1.6799315087826505E-3</v>
      </c>
      <c r="H293" s="42">
        <f>(+B293/(D293*(1-VLOOKUP(A293,FX!A:K,9,0)))-1)</f>
        <v>-6.6026362212756595E-5</v>
      </c>
      <c r="I293" s="25">
        <f t="shared" si="81"/>
        <v>-3.3552876848514934E-3</v>
      </c>
      <c r="J293">
        <v>3461.9782</v>
      </c>
      <c r="K293">
        <v>3478.0385000000001</v>
      </c>
      <c r="L293" s="25">
        <f t="shared" si="88"/>
        <v>4.6390528975601697E-3</v>
      </c>
      <c r="M293">
        <f t="shared" si="89"/>
        <v>5</v>
      </c>
    </row>
    <row r="294" spans="1:14" x14ac:dyDescent="0.15">
      <c r="A294" s="1">
        <v>42821</v>
      </c>
      <c r="B294">
        <v>40.1</v>
      </c>
      <c r="C294" s="25">
        <f t="shared" si="87"/>
        <v>0</v>
      </c>
      <c r="D294" s="26">
        <f t="shared" si="85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6"/>
        <v>-3.3552876848514934E-3</v>
      </c>
      <c r="H294" s="42">
        <f>(+B294/(D294*(1-VLOOKUP(A294,FX!A:K,9,0)))-1)</f>
        <v>-7.5853676511487E-3</v>
      </c>
      <c r="I294" s="25">
        <f t="shared" si="81"/>
        <v>-4.3204052242141744E-3</v>
      </c>
      <c r="J294">
        <v>3478.0385000000001</v>
      </c>
      <c r="K294">
        <v>3478.0385000000001</v>
      </c>
      <c r="L294" s="25">
        <f t="shared" si="88"/>
        <v>0</v>
      </c>
      <c r="M294">
        <f t="shared" si="89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7"/>
        <v>-1.2468827930175452E-3</v>
      </c>
      <c r="D295" s="26">
        <f t="shared" si="85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6"/>
        <v>-3.2034341874956906E-3</v>
      </c>
      <c r="H295" s="42">
        <f>(+B295/(D295*(1-VLOOKUP(A295,FX!A:K,9,0)))-1)</f>
        <v>-1.6314176372564937E-3</v>
      </c>
      <c r="I295" s="25">
        <f t="shared" si="81"/>
        <v>-1.5456721180695521E-3</v>
      </c>
      <c r="J295">
        <v>3478.0385000000001</v>
      </c>
      <c r="K295">
        <v>3469.8092999999999</v>
      </c>
      <c r="L295" s="25">
        <f t="shared" si="88"/>
        <v>-2.3660462642952629E-3</v>
      </c>
      <c r="M295">
        <f t="shared" si="89"/>
        <v>2</v>
      </c>
    </row>
    <row r="296" spans="1:14" x14ac:dyDescent="0.15">
      <c r="A296" s="1">
        <v>42823</v>
      </c>
      <c r="B296">
        <v>40.049999999999997</v>
      </c>
      <c r="C296" s="25">
        <f t="shared" si="87"/>
        <v>0</v>
      </c>
      <c r="D296" s="26">
        <f t="shared" si="85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6"/>
        <v>-2.1562649622708374E-4</v>
      </c>
      <c r="H296" s="42">
        <f>(+B296/(D296*(1-VLOOKUP(A296,FX!A:K,9,0)))-1)</f>
        <v>1.0122183398511009E-3</v>
      </c>
      <c r="I296" s="25">
        <f t="shared" si="81"/>
        <v>9.7473194871389168E-4</v>
      </c>
      <c r="J296">
        <v>3469.8092999999999</v>
      </c>
      <c r="K296">
        <v>3465.1932999999999</v>
      </c>
      <c r="L296" s="25">
        <f t="shared" si="88"/>
        <v>-1.3303324767732772E-3</v>
      </c>
      <c r="M296">
        <f t="shared" si="89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7"/>
        <v>-8.7390761548064022E-3</v>
      </c>
      <c r="D297" s="26">
        <f t="shared" si="85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6"/>
        <v>4.3669908442933725E-4</v>
      </c>
      <c r="H297" s="42">
        <f>(+B297/(D297*(1-VLOOKUP(A297,FX!A:K,9,0)))-1)</f>
        <v>1.5800387907278779E-3</v>
      </c>
      <c r="I297" s="25">
        <f t="shared" si="81"/>
        <v>1.3115415657789509E-3</v>
      </c>
      <c r="J297">
        <v>3465.1932999999999</v>
      </c>
      <c r="K297">
        <v>3436.7579999999998</v>
      </c>
      <c r="L297" s="25">
        <f t="shared" si="88"/>
        <v>-8.2059780041707775E-3</v>
      </c>
      <c r="M297">
        <f t="shared" si="89"/>
        <v>4</v>
      </c>
    </row>
    <row r="298" spans="1:14" x14ac:dyDescent="0.15">
      <c r="A298" s="1">
        <v>42825</v>
      </c>
      <c r="B298">
        <v>40</v>
      </c>
      <c r="C298" s="25">
        <f t="shared" si="87"/>
        <v>7.5566750629723067E-3</v>
      </c>
      <c r="D298" s="26">
        <f t="shared" si="85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6"/>
        <v>3.2477800963337522E-3</v>
      </c>
      <c r="H298" s="42">
        <f>(+B298/(D298*(1-VLOOKUP(A298,FX!A:K,9,0)))-1)</f>
        <v>4.108414288157558E-3</v>
      </c>
      <c r="I298" s="25">
        <f t="shared" si="81"/>
        <v>4.1925037029599821E-3</v>
      </c>
      <c r="J298">
        <v>3436.7579999999998</v>
      </c>
      <c r="K298">
        <v>3456.0455000000002</v>
      </c>
      <c r="L298" s="25">
        <f t="shared" si="88"/>
        <v>5.6121204926271595E-3</v>
      </c>
      <c r="M298">
        <f t="shared" si="89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7"/>
        <v>0</v>
      </c>
      <c r="D299" s="26">
        <f t="shared" si="85"/>
        <v>39.832999999999998</v>
      </c>
      <c r="E299" s="26">
        <f>D299*(1-VLOOKUP(A299,FX!A:K,9,0))</f>
        <v>39.900587779066484</v>
      </c>
      <c r="F299">
        <v>39.9</v>
      </c>
      <c r="G299" s="25">
        <f t="shared" si="86"/>
        <v>4.1925037029599821E-3</v>
      </c>
      <c r="H299" s="42">
        <f>(+B299/(D299*(1-VLOOKUP(A299,FX!A:K,9,0)))-1)</f>
        <v>2.4914976562242508E-3</v>
      </c>
      <c r="I299" s="25">
        <f t="shared" ref="I299:I308" si="90">+B299/F299-1</f>
        <v>2.5062656641603454E-3</v>
      </c>
      <c r="J299">
        <v>3456.0455000000002</v>
      </c>
      <c r="K299">
        <v>3456.0455000000002</v>
      </c>
      <c r="L299" s="25">
        <f t="shared" si="88"/>
        <v>0</v>
      </c>
      <c r="M299">
        <f t="shared" si="89"/>
        <v>1</v>
      </c>
    </row>
    <row r="300" spans="1:14" x14ac:dyDescent="0.15">
      <c r="A300" s="1">
        <v>42829</v>
      </c>
      <c r="B300">
        <v>40</v>
      </c>
      <c r="C300" s="25">
        <f t="shared" si="87"/>
        <v>0</v>
      </c>
      <c r="D300" s="26">
        <f t="shared" si="85"/>
        <v>39.9</v>
      </c>
      <c r="E300" s="26">
        <f>D300*(1-VLOOKUP(A300,FX!A:K,9,0))</f>
        <v>39.908416343929524</v>
      </c>
      <c r="F300">
        <v>39.9</v>
      </c>
      <c r="G300" s="25">
        <f t="shared" si="86"/>
        <v>2.5062656641603454E-3</v>
      </c>
      <c r="H300" s="42">
        <f>(+B300/(D300*(1-VLOOKUP(A300,FX!A:K,9,0)))-1)</f>
        <v>2.294845660654854E-3</v>
      </c>
      <c r="I300" s="25">
        <f t="shared" si="90"/>
        <v>2.5062656641603454E-3</v>
      </c>
      <c r="J300">
        <v>3456.0455000000002</v>
      </c>
      <c r="K300">
        <v>3456.0455000000002</v>
      </c>
      <c r="L300" s="25">
        <f t="shared" si="88"/>
        <v>0</v>
      </c>
      <c r="M300">
        <f t="shared" si="89"/>
        <v>2</v>
      </c>
    </row>
    <row r="301" spans="1:14" x14ac:dyDescent="0.15">
      <c r="A301" s="1">
        <v>42830</v>
      </c>
      <c r="B301">
        <v>40.5</v>
      </c>
      <c r="C301" s="25">
        <f t="shared" si="87"/>
        <v>1.2499999999999956E-2</v>
      </c>
      <c r="D301" s="26">
        <f t="shared" si="85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6"/>
        <v>1.1766651513684945E-3</v>
      </c>
      <c r="H301" s="42">
        <f>(+B301/(D301*(1-VLOOKUP(A301,FX!A:K,9,0)))-1)</f>
        <v>1.9598917598784293E-3</v>
      </c>
      <c r="I301" s="25">
        <f t="shared" si="90"/>
        <v>1.7809439002671734E-3</v>
      </c>
      <c r="J301">
        <v>3456.0455000000002</v>
      </c>
      <c r="K301">
        <v>3503.8932</v>
      </c>
      <c r="L301" s="25">
        <f t="shared" si="88"/>
        <v>1.3844638330137604E-2</v>
      </c>
      <c r="M301">
        <f t="shared" si="89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7"/>
        <v>-1.2345679012345512E-3</v>
      </c>
      <c r="D302" s="26">
        <f t="shared" si="85"/>
        <v>40.545153623175501</v>
      </c>
      <c r="E302" s="26">
        <f>D302*(1-VLOOKUP(A302,FX!A:K,9,0))</f>
        <v>40.477279346271082</v>
      </c>
      <c r="F302">
        <v>40.49</v>
      </c>
      <c r="G302" s="25">
        <f t="shared" si="86"/>
        <v>-2.3468556577649347E-3</v>
      </c>
      <c r="H302" s="42">
        <f>(+B302/(D302*(1-VLOOKUP(A302,FX!A:K,9,0)))-1)</f>
        <v>-6.7394218958527485E-4</v>
      </c>
      <c r="I302" s="25">
        <f t="shared" si="90"/>
        <v>-9.8789824648060076E-4</v>
      </c>
      <c r="J302">
        <v>3503.8932</v>
      </c>
      <c r="K302">
        <v>3514.0468999999998</v>
      </c>
      <c r="L302" s="25">
        <f t="shared" si="88"/>
        <v>2.8978337581750946E-3</v>
      </c>
      <c r="M302">
        <f t="shared" si="89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7"/>
        <v>2.4721878862792313E-3</v>
      </c>
      <c r="D303" s="26">
        <f t="shared" si="85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6"/>
        <v>5.0911152503818613E-4</v>
      </c>
      <c r="H303" s="42">
        <f>(+B303/(D303*(1-VLOOKUP(A303,FX!A:K,9,0)))-1)</f>
        <v>1.1264250890512528E-3</v>
      </c>
      <c r="I303" s="25">
        <f t="shared" si="90"/>
        <v>9.6270148848454085E-4</v>
      </c>
      <c r="J303">
        <v>3514.0468999999998</v>
      </c>
      <c r="K303">
        <v>3517.4634000000001</v>
      </c>
      <c r="L303" s="25">
        <f t="shared" si="88"/>
        <v>9.7224086565272927E-4</v>
      </c>
      <c r="M303">
        <f t="shared" si="89"/>
        <v>5</v>
      </c>
    </row>
    <row r="304" spans="1:14" x14ac:dyDescent="0.15">
      <c r="A304" s="1">
        <v>42835</v>
      </c>
      <c r="B304">
        <v>40.200000000000003</v>
      </c>
      <c r="C304" s="25">
        <f t="shared" si="87"/>
        <v>-8.6313193588161141E-3</v>
      </c>
      <c r="D304" s="26">
        <f t="shared" si="85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6"/>
        <v>-4.1878823647157892E-3</v>
      </c>
      <c r="H304" s="42">
        <f>(+B304/(D304*(1-VLOOKUP(A304,FX!A:K,9,0)))-1)</f>
        <v>-2.2614280493923333E-3</v>
      </c>
      <c r="I304" s="25">
        <f t="shared" si="90"/>
        <v>-2.2833316787451707E-3</v>
      </c>
      <c r="J304">
        <v>3517.4634000000001</v>
      </c>
      <c r="K304">
        <v>3505.1392000000001</v>
      </c>
      <c r="L304" s="25">
        <f t="shared" si="88"/>
        <v>-3.5037180486370278E-3</v>
      </c>
      <c r="M304">
        <f t="shared" si="89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7"/>
        <v>2.4875621890545485E-3</v>
      </c>
      <c r="D305" s="26">
        <f t="shared" si="85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6"/>
        <v>-3.2674952623679143E-3</v>
      </c>
      <c r="H305" s="42">
        <f>(+B305/(D305*(1-VLOOKUP(A305,FX!A:K,9,0)))-1)</f>
        <v>-3.2422443135889933E-3</v>
      </c>
      <c r="I305" s="25">
        <f t="shared" si="90"/>
        <v>-2.8701504354711194E-3</v>
      </c>
      <c r="J305">
        <v>3505.1392000000001</v>
      </c>
      <c r="K305">
        <v>3517.328</v>
      </c>
      <c r="L305" s="25">
        <f t="shared" si="88"/>
        <v>3.4774082581370269E-3</v>
      </c>
      <c r="M305">
        <f t="shared" si="89"/>
        <v>2</v>
      </c>
    </row>
    <row r="306" spans="1:14" x14ac:dyDescent="0.15">
      <c r="A306" s="1">
        <v>42837</v>
      </c>
      <c r="B306">
        <v>40.35</v>
      </c>
      <c r="C306" s="25">
        <f t="shared" si="87"/>
        <v>1.2406947890819531E-3</v>
      </c>
      <c r="D306" s="26">
        <f t="shared" si="85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6"/>
        <v>6.1133562273418818E-4</v>
      </c>
      <c r="H306" s="42">
        <f>(+B306/(D306*(1-VLOOKUP(A306,FX!A:K,9,0)))-1)</f>
        <v>-3.2972816575815855E-4</v>
      </c>
      <c r="I306" s="25">
        <f t="shared" si="90"/>
        <v>-4.4589774078485078E-4</v>
      </c>
      <c r="J306">
        <v>3517.328</v>
      </c>
      <c r="K306">
        <v>3509.4387000000002</v>
      </c>
      <c r="L306" s="25">
        <f t="shared" si="88"/>
        <v>-2.2429810356042745E-3</v>
      </c>
      <c r="M306">
        <f t="shared" si="89"/>
        <v>3</v>
      </c>
    </row>
    <row r="307" spans="1:14" x14ac:dyDescent="0.15">
      <c r="A307" s="1">
        <v>42838</v>
      </c>
      <c r="B307">
        <v>40.549999999999997</v>
      </c>
      <c r="C307" s="25">
        <f t="shared" si="87"/>
        <v>4.956629491945419E-3</v>
      </c>
      <c r="D307" s="26">
        <f t="shared" si="85"/>
        <v>40.426980064247886</v>
      </c>
      <c r="E307" s="26">
        <f>D307*(1-VLOOKUP(A307,FX!A:K,9,0))</f>
        <v>40.58985798957162</v>
      </c>
      <c r="F307">
        <v>40.58</v>
      </c>
      <c r="G307" s="25">
        <f t="shared" si="86"/>
        <v>3.0430157176370987E-3</v>
      </c>
      <c r="H307" s="42">
        <f>(+B307/(D307*(1-VLOOKUP(A307,FX!A:K,9,0)))-1)</f>
        <v>-9.8196918013027101E-4</v>
      </c>
      <c r="I307" s="25">
        <f t="shared" si="90"/>
        <v>-7.392804337111869E-4</v>
      </c>
      <c r="J307">
        <v>3509.4387000000002</v>
      </c>
      <c r="K307">
        <v>3514.5662000000002</v>
      </c>
      <c r="L307" s="25">
        <f t="shared" si="88"/>
        <v>1.4610598555262477E-3</v>
      </c>
      <c r="M307">
        <f t="shared" si="89"/>
        <v>4</v>
      </c>
    </row>
    <row r="308" spans="1:14" x14ac:dyDescent="0.15">
      <c r="A308" s="1">
        <v>42839</v>
      </c>
      <c r="B308">
        <v>40.549999999999997</v>
      </c>
      <c r="C308" s="25">
        <f t="shared" si="87"/>
        <v>0</v>
      </c>
      <c r="D308" s="26">
        <f t="shared" si="85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6"/>
        <v>7.3034324135701212E-3</v>
      </c>
      <c r="H308" s="42">
        <f>(+B308/(D308*(1-VLOOKUP(A308,FX!A:K,9,0)))-1)</f>
        <v>8.7662549176954485E-3</v>
      </c>
      <c r="I308" s="25">
        <f t="shared" si="90"/>
        <v>8.7064676616914749E-3</v>
      </c>
      <c r="J308">
        <v>3514.5662000000002</v>
      </c>
      <c r="K308">
        <v>3486.5045</v>
      </c>
      <c r="L308" s="25">
        <f t="shared" si="88"/>
        <v>-7.9843993264375746E-3</v>
      </c>
      <c r="M308">
        <f t="shared" si="89"/>
        <v>5</v>
      </c>
    </row>
    <row r="309" spans="1:14" x14ac:dyDescent="0.15">
      <c r="A309" s="1">
        <v>42842</v>
      </c>
      <c r="B309">
        <v>40.549999999999997</v>
      </c>
      <c r="C309" s="25">
        <f t="shared" si="87"/>
        <v>0</v>
      </c>
      <c r="D309" s="26">
        <f t="shared" si="85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6"/>
        <v>1.060878079698635E-2</v>
      </c>
      <c r="H309" s="42">
        <f>(+B309/(D309*(1-VLOOKUP(A309,FX!A:K,9,0)))-1)</f>
        <v>1.0417945481191682E-2</v>
      </c>
      <c r="I309" s="25">
        <f t="shared" ref="I309:I349" si="91">+B309/F309-1</f>
        <v>1.0465985546972201E-2</v>
      </c>
      <c r="J309">
        <v>3486.5045</v>
      </c>
      <c r="K309">
        <v>3479.9416999999999</v>
      </c>
      <c r="L309" s="25">
        <f t="shared" si="88"/>
        <v>-1.8823437629293949E-3</v>
      </c>
      <c r="M309">
        <f t="shared" si="89"/>
        <v>1</v>
      </c>
    </row>
    <row r="310" spans="1:14" x14ac:dyDescent="0.15">
      <c r="A310" s="1">
        <v>42843</v>
      </c>
      <c r="B310">
        <v>39.950000000000003</v>
      </c>
      <c r="C310" s="25">
        <f t="shared" si="87"/>
        <v>-1.4796547472256338E-2</v>
      </c>
      <c r="D310" s="26">
        <f t="shared" si="85"/>
        <v>39.931666837119721</v>
      </c>
      <c r="E310" s="26">
        <f>D310*(1-VLOOKUP(A310,FX!A:K,9,0))</f>
        <v>39.914409812449797</v>
      </c>
      <c r="F310">
        <v>39.89</v>
      </c>
      <c r="G310" s="25">
        <f t="shared" si="86"/>
        <v>4.5911338875637142E-4</v>
      </c>
      <c r="H310" s="42">
        <f>(+B310/(D310*(1-VLOOKUP(A310,FX!A:K,9,0)))-1)</f>
        <v>8.916626280441875E-4</v>
      </c>
      <c r="I310" s="25">
        <f t="shared" si="91"/>
        <v>1.5041363750314396E-3</v>
      </c>
      <c r="J310">
        <v>3479.9416999999999</v>
      </c>
      <c r="K310">
        <v>3462.7429000000002</v>
      </c>
      <c r="L310" s="25">
        <f t="shared" si="88"/>
        <v>-4.942266705215137E-3</v>
      </c>
      <c r="M310">
        <f t="shared" si="89"/>
        <v>2</v>
      </c>
    </row>
    <row r="311" spans="1:14" x14ac:dyDescent="0.15">
      <c r="A311" s="1">
        <v>42844</v>
      </c>
      <c r="B311">
        <v>39.75</v>
      </c>
      <c r="C311" s="25">
        <f t="shared" si="87"/>
        <v>-5.0062578222779264E-3</v>
      </c>
      <c r="D311" s="26">
        <f t="shared" si="85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6"/>
        <v>1.3679479196500033E-3</v>
      </c>
      <c r="H311" s="42">
        <f>(+B311/(D311*(1-VLOOKUP(A311,FX!A:K,9,0)))-1)</f>
        <v>9.0267214976025301E-4</v>
      </c>
      <c r="I311" s="25">
        <f t="shared" si="91"/>
        <v>1.3351134846462109E-3</v>
      </c>
      <c r="J311">
        <v>3462.7429000000002</v>
      </c>
      <c r="K311">
        <v>3445.8761</v>
      </c>
      <c r="L311" s="25">
        <f t="shared" si="88"/>
        <v>-4.8709362742467288E-3</v>
      </c>
      <c r="M311">
        <f t="shared" si="89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7"/>
        <v>8.8050314465408785E-3</v>
      </c>
      <c r="D312" s="26">
        <f t="shared" si="85"/>
        <v>39.877543747350643</v>
      </c>
      <c r="E312" s="26">
        <f>D312*(1-VLOOKUP(A312,FX!A:K,9,0))</f>
        <v>39.877833461387503</v>
      </c>
      <c r="F312">
        <v>39.869</v>
      </c>
      <c r="G312" s="25">
        <f t="shared" si="86"/>
        <v>5.5784843233765979E-3</v>
      </c>
      <c r="H312" s="42">
        <f>(+B312/(D312*(1-VLOOKUP(A312,FX!A:K,9,0)))-1)</f>
        <v>5.5711787559276083E-3</v>
      </c>
      <c r="I312" s="25">
        <f t="shared" si="91"/>
        <v>5.7939752690059354E-3</v>
      </c>
      <c r="J312">
        <v>3445.8761</v>
      </c>
      <c r="K312">
        <v>3461.5481</v>
      </c>
      <c r="L312" s="25">
        <f t="shared" si="88"/>
        <v>4.5480451255923704E-3</v>
      </c>
      <c r="M312">
        <f t="shared" si="89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2">B313/B312-1</f>
        <v>-1.2468827930175452E-3</v>
      </c>
      <c r="D313" s="26">
        <f t="shared" si="85"/>
        <v>39.929334209887188</v>
      </c>
      <c r="E313" s="26">
        <f>D313*(1-VLOOKUP(A313,FX!A:K,9,0))</f>
        <v>39.935281525518825</v>
      </c>
      <c r="F313">
        <v>39.94</v>
      </c>
      <c r="G313" s="25">
        <f t="shared" si="86"/>
        <v>3.0219835241562798E-3</v>
      </c>
      <c r="H313" s="42">
        <f>(+B313/(D313*(1-VLOOKUP(A313,FX!A:K,9,0)))-1)</f>
        <v>2.8726096348630215E-3</v>
      </c>
      <c r="I313" s="25">
        <f t="shared" si="91"/>
        <v>2.7541311967951287E-3</v>
      </c>
      <c r="J313">
        <v>3461.5481</v>
      </c>
      <c r="K313">
        <v>3466.7865000000002</v>
      </c>
      <c r="L313" s="25">
        <f t="shared" si="88"/>
        <v>1.5133113418241972E-3</v>
      </c>
      <c r="M313">
        <f t="shared" si="89"/>
        <v>5</v>
      </c>
    </row>
    <row r="314" spans="1:14" x14ac:dyDescent="0.15">
      <c r="A314" s="1">
        <v>42849</v>
      </c>
      <c r="B314">
        <v>39.6</v>
      </c>
      <c r="C314" s="25">
        <f t="shared" si="92"/>
        <v>-1.1235955056179692E-2</v>
      </c>
      <c r="D314" s="26">
        <f t="shared" si="85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6"/>
        <v>1.7532478155117825E-3</v>
      </c>
      <c r="H314" s="42">
        <f>(+B314/(D314*(1-VLOOKUP(A314,FX!A:K,9,0)))-1)</f>
        <v>2.2301319008914966E-3</v>
      </c>
      <c r="I314" s="25">
        <f t="shared" si="91"/>
        <v>2.2018070002278733E-3</v>
      </c>
      <c r="J314">
        <v>3466.7865000000002</v>
      </c>
      <c r="K314">
        <v>3431.2586999999999</v>
      </c>
      <c r="L314" s="25">
        <f t="shared" si="88"/>
        <v>-1.0248049598670206E-2</v>
      </c>
      <c r="M314">
        <f t="shared" si="89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2"/>
        <v>3.7878787878786735E-3</v>
      </c>
      <c r="D315" s="26">
        <f t="shared" si="85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6"/>
        <v>3.1575878898997267E-3</v>
      </c>
      <c r="H315" s="42">
        <f>(+B315/(D315*(1-VLOOKUP(A315,FX!A:K,9,0)))-1)</f>
        <v>3.4089752439740995E-3</v>
      </c>
      <c r="I315" s="25">
        <f t="shared" si="91"/>
        <v>3.863929085536677E-3</v>
      </c>
      <c r="J315">
        <v>3431.2586999999999</v>
      </c>
      <c r="K315">
        <v>3440.9742999999999</v>
      </c>
      <c r="L315" s="25">
        <f t="shared" si="88"/>
        <v>2.8314973744183458E-3</v>
      </c>
      <c r="M315">
        <f t="shared" si="89"/>
        <v>2</v>
      </c>
    </row>
    <row r="316" spans="1:14" x14ac:dyDescent="0.15">
      <c r="A316" s="1">
        <v>42851</v>
      </c>
      <c r="B316">
        <v>39.75</v>
      </c>
      <c r="C316" s="25">
        <f t="shared" si="92"/>
        <v>0</v>
      </c>
      <c r="D316" s="26">
        <f t="shared" si="85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6"/>
        <v>2.6375319258360452E-3</v>
      </c>
      <c r="H316" s="42">
        <f>(+B316/(D316*(1-VLOOKUP(A316,FX!A:K,9,0)))-1)</f>
        <v>3.1691183613324903E-3</v>
      </c>
      <c r="I316" s="25">
        <f t="shared" si="91"/>
        <v>2.7243832299075343E-3</v>
      </c>
      <c r="J316">
        <v>3440.9742999999999</v>
      </c>
      <c r="K316">
        <v>3445.1831999999999</v>
      </c>
      <c r="L316" s="25">
        <f t="shared" si="88"/>
        <v>1.2231710071186619E-3</v>
      </c>
      <c r="M316">
        <f t="shared" si="89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2"/>
        <v>-1.2578616352200145E-3</v>
      </c>
      <c r="D317" s="26">
        <f t="shared" si="85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6"/>
        <v>1.0165110797166754E-3</v>
      </c>
      <c r="H317" s="42">
        <f>(+B317/(D317*(1-VLOOKUP(A317,FX!A:K,9,0)))-1)</f>
        <v>2.7796933988815109E-3</v>
      </c>
      <c r="I317" s="25">
        <f t="shared" si="91"/>
        <v>2.753150968654472E-3</v>
      </c>
      <c r="J317">
        <v>3445.1831999999999</v>
      </c>
      <c r="K317">
        <v>3446.7202000000002</v>
      </c>
      <c r="L317" s="25">
        <f t="shared" si="88"/>
        <v>4.461301216145408E-4</v>
      </c>
      <c r="M317">
        <f t="shared" si="89"/>
        <v>4</v>
      </c>
    </row>
    <row r="318" spans="1:14" x14ac:dyDescent="0.15">
      <c r="A318" s="1">
        <v>42853</v>
      </c>
      <c r="B318">
        <v>39.65</v>
      </c>
      <c r="C318" s="25">
        <f t="shared" si="92"/>
        <v>-1.2594458438288658E-3</v>
      </c>
      <c r="D318" s="26">
        <f t="shared" si="85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6"/>
        <v>3.5187504205751452E-3</v>
      </c>
      <c r="H318" s="42">
        <f>(+B318/(D318*(1-VLOOKUP(A318,FX!A:K,9,0)))-1)</f>
        <v>2.501491320142879E-3</v>
      </c>
      <c r="I318" s="25">
        <f t="shared" si="91"/>
        <v>2.1483634525465423E-3</v>
      </c>
      <c r="J318">
        <v>3446.7202000000002</v>
      </c>
      <c r="K318">
        <v>3439.7530000000002</v>
      </c>
      <c r="L318" s="25">
        <f t="shared" si="88"/>
        <v>-2.0213999384109949E-3</v>
      </c>
      <c r="M318">
        <f t="shared" si="89"/>
        <v>5</v>
      </c>
    </row>
    <row r="319" spans="1:14" x14ac:dyDescent="0.15">
      <c r="A319" s="1">
        <v>42856</v>
      </c>
      <c r="B319">
        <v>39.65</v>
      </c>
      <c r="C319" s="25">
        <f t="shared" ref="C319" si="93">B319/B318-1</f>
        <v>0</v>
      </c>
      <c r="D319" s="26">
        <f t="shared" ref="D319" si="94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5">+B319/D319-1</f>
        <v>2.1483634525465423E-3</v>
      </c>
      <c r="H319" s="42">
        <f>(+B319/(D319*(1-VLOOKUP(A319,FX!A:K,9,0)))-1)</f>
        <v>3.0935532961069434E-3</v>
      </c>
      <c r="I319" s="25">
        <f t="shared" si="91"/>
        <v>3.0356691120667634E-3</v>
      </c>
      <c r="J319">
        <v>3439.7530000000002</v>
      </c>
      <c r="K319">
        <v>3439.7530000000002</v>
      </c>
      <c r="L319" s="25">
        <f t="shared" ref="L319" si="96">+K319/J319-1</f>
        <v>0</v>
      </c>
      <c r="M319">
        <f t="shared" ref="M319" si="97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98">B320/B319-1</f>
        <v>-2.5220680958386588E-3</v>
      </c>
      <c r="D320" s="26">
        <f t="shared" ref="D320" si="99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0">+B320/D320-1</f>
        <v>4.3532443788181219E-3</v>
      </c>
      <c r="H320" s="42">
        <f>(+B320/(D320*(1-VLOOKUP(A320,FX!A:K,9,0)))-1)</f>
        <v>3.505902137472594E-3</v>
      </c>
      <c r="I320" s="25">
        <f t="shared" si="91"/>
        <v>3.577862924712516E-3</v>
      </c>
      <c r="J320">
        <v>3439.7530000000002</v>
      </c>
      <c r="K320">
        <v>3426.5765999999999</v>
      </c>
      <c r="L320" s="25">
        <f t="shared" ref="L320" si="101">+K320/J320-1</f>
        <v>-3.8306238849127316E-3</v>
      </c>
      <c r="M320">
        <f t="shared" ref="M320" si="102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3">B321/B320-1</f>
        <v>0</v>
      </c>
      <c r="D321" s="26">
        <f t="shared" ref="D321" si="104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5">+B321/D321-1</f>
        <v>7.5321581462506337E-3</v>
      </c>
      <c r="H321" s="42">
        <f>(+B321/(D321*(1-VLOOKUP(A321,FX!A:K,9,0)))-1)</f>
        <v>6.5770398543785191E-3</v>
      </c>
      <c r="I321" s="25">
        <f t="shared" si="91"/>
        <v>6.4637622149836815E-3</v>
      </c>
      <c r="J321">
        <v>3426.5765999999999</v>
      </c>
      <c r="K321">
        <v>3413.1282000000001</v>
      </c>
      <c r="L321" s="25">
        <f t="shared" ref="L321" si="106">+K321/J321-1</f>
        <v>-3.9247335080733192E-3</v>
      </c>
      <c r="M321">
        <f t="shared" ref="M321" si="107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08">B322/B321-1</f>
        <v>-8.8495575221237965E-3</v>
      </c>
      <c r="D322" s="26">
        <f t="shared" ref="D322" si="109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0">+B322/D322-1</f>
        <v>1.1853499505276588E-4</v>
      </c>
      <c r="H322" s="42">
        <f>(+B322/(D322*(1-VLOOKUP(A322,FX!A:K,9,0)))-1)</f>
        <v>1.0553482648465451E-3</v>
      </c>
      <c r="I322" s="25">
        <f t="shared" si="91"/>
        <v>1.0470134579536605E-3</v>
      </c>
      <c r="J322">
        <v>3413.1282000000001</v>
      </c>
      <c r="K322">
        <v>3404.3863999999999</v>
      </c>
      <c r="L322" s="25">
        <f t="shared" ref="L322" si="111">+K322/J322-1</f>
        <v>-2.561228142558547E-3</v>
      </c>
      <c r="M322">
        <f t="shared" ref="M322" si="112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3">B323/B322-1</f>
        <v>-5.1020408163265918E-3</v>
      </c>
      <c r="D323" s="26">
        <f t="shared" ref="D323" si="114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5">+B323/D323-1</f>
        <v>2.3689623584715047E-3</v>
      </c>
      <c r="H323" s="42">
        <f>(+B323/(D323*(1-VLOOKUP(A323,FX!A:K,9,0)))-1)</f>
        <v>2.8066063235554495E-3</v>
      </c>
      <c r="I323" s="25">
        <f t="shared" si="91"/>
        <v>2.7511377368678591E-3</v>
      </c>
      <c r="J323">
        <v>3404.3863999999999</v>
      </c>
      <c r="K323">
        <v>3382.5502000000001</v>
      </c>
      <c r="L323" s="25">
        <f t="shared" ref="L323" si="116">+K323/J323-1</f>
        <v>-6.4141367736634258E-3</v>
      </c>
      <c r="M323">
        <f t="shared" ref="M323" si="117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18">B324/B323-1</f>
        <v>-6.4102564102563875E-3</v>
      </c>
      <c r="D324" s="26">
        <f t="shared" ref="D324" si="119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0">+B324/D324-1</f>
        <v>3.364550549088241E-3</v>
      </c>
      <c r="H324" s="42">
        <f>(+B324/(D324*(1-VLOOKUP(A324,FX!A:K,9,0)))-1)</f>
        <v>4.0651167003615818E-3</v>
      </c>
      <c r="I324" s="25">
        <f t="shared" si="91"/>
        <v>4.2242205924274412E-3</v>
      </c>
      <c r="J324">
        <v>3382.5502000000001</v>
      </c>
      <c r="K324">
        <v>3358.8125</v>
      </c>
      <c r="L324" s="25">
        <f t="shared" ref="L324" si="121">+K324/J324-1</f>
        <v>-7.0176933368203409E-3</v>
      </c>
      <c r="M324">
        <f t="shared" ref="M324" si="122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3">B325/B324-1</f>
        <v>-1.290322580645098E-3</v>
      </c>
      <c r="D325" s="26">
        <f t="shared" ref="D325" si="124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5">+B325/D325-1</f>
        <v>4.8071737496258038E-3</v>
      </c>
      <c r="H325" s="42">
        <f>(+B325/(D325*(1-VLOOKUP(A325,FX!A:K,9,0)))-1)</f>
        <v>5.816365092225606E-3</v>
      </c>
      <c r="I325" s="25">
        <f t="shared" si="91"/>
        <v>5.7695306408858116E-3</v>
      </c>
      <c r="J325">
        <v>3358.8125</v>
      </c>
      <c r="K325">
        <v>3352.5324000000001</v>
      </c>
      <c r="L325" s="25">
        <f t="shared" ref="L325" si="126">+K325/J325-1</f>
        <v>-1.8697381887199382E-3</v>
      </c>
      <c r="M325">
        <f t="shared" ref="M325" si="127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28">B326/B325-1</f>
        <v>-3.8759689922481799E-3</v>
      </c>
      <c r="D326" s="26">
        <f t="shared" ref="D326" si="129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0">+B326/D326-1</f>
        <v>6.323201987332272E-3</v>
      </c>
      <c r="H326" s="42">
        <f>(+B326/(D326*(1-VLOOKUP(A326,FX!A:K,9,0)))-1)</f>
        <v>6.5962892289082031E-3</v>
      </c>
      <c r="I326" s="25">
        <f t="shared" si="91"/>
        <v>5.6609187905980463E-3</v>
      </c>
      <c r="J326">
        <v>3352.5324000000001</v>
      </c>
      <c r="K326">
        <v>3337.7006999999999</v>
      </c>
      <c r="L326" s="25">
        <f t="shared" ref="L326" si="131">+K326/J326-1</f>
        <v>-4.4240288326520272E-3</v>
      </c>
      <c r="M326">
        <f t="shared" ref="M326" si="132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3">B327/B326-1</f>
        <v>1.2970168612194133E-3</v>
      </c>
      <c r="D327" s="26">
        <f t="shared" ref="D327" si="134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5">+B327/D327-1</f>
        <v>1.2818787704846901E-3</v>
      </c>
      <c r="H327" s="42">
        <f>(+B327/(D327*(1-VLOOKUP(A327,FX!A:K,9,0)))-1)</f>
        <v>9.7337892039206508E-4</v>
      </c>
      <c r="I327" s="25">
        <f t="shared" si="91"/>
        <v>1.2450715916165755E-3</v>
      </c>
      <c r="J327">
        <v>3337.7006999999999</v>
      </c>
      <c r="K327">
        <v>3356.6459</v>
      </c>
      <c r="L327" s="25">
        <f t="shared" ref="L327" si="136">+K327/J327-1</f>
        <v>5.6761230867705681E-3</v>
      </c>
      <c r="M327">
        <f t="shared" ref="M327" si="137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38">B328/B327-1</f>
        <v>1.5544041450777257E-2</v>
      </c>
      <c r="D328" s="26">
        <f t="shared" ref="D328" si="139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0">+B328/D328-1</f>
        <v>8.1784853547646197E-3</v>
      </c>
      <c r="H328" s="42">
        <f>(+B328/(D328*(1-VLOOKUP(A328,FX!A:K,9,0)))-1)</f>
        <v>6.9726085728676335E-3</v>
      </c>
      <c r="I328" s="25">
        <f t="shared" si="91"/>
        <v>6.2634767429921023E-3</v>
      </c>
      <c r="J328">
        <v>3356.6459</v>
      </c>
      <c r="K328">
        <v>3385.3787000000002</v>
      </c>
      <c r="L328" s="25">
        <f t="shared" ref="L328" si="141">+K328/J328-1</f>
        <v>8.5599735140367006E-3</v>
      </c>
      <c r="M328">
        <f t="shared" ref="M328" si="142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3">B329/B328-1</f>
        <v>2.5510204081631294E-3</v>
      </c>
      <c r="D329" s="26">
        <f t="shared" ref="D329" si="144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5">+B329/D329-1</f>
        <v>4.7303874909023769E-3</v>
      </c>
      <c r="H329" s="42">
        <f>(+B329/(D329*(1-VLOOKUP(A329,FX!A:K,9,0)))-1)</f>
        <v>4.4407332823019896E-3</v>
      </c>
      <c r="I329" s="25">
        <f t="shared" si="91"/>
        <v>5.0122749590835181E-3</v>
      </c>
      <c r="J329">
        <v>3385.3787000000002</v>
      </c>
      <c r="K329">
        <v>3399.1936999999998</v>
      </c>
      <c r="L329" s="25">
        <f t="shared" ref="L329" si="146">+K329/J329-1</f>
        <v>4.0807842265917493E-3</v>
      </c>
      <c r="M329">
        <f t="shared" ref="M329" si="147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48">B330/B329-1</f>
        <v>7.6335877862596657E-3</v>
      </c>
      <c r="D330" s="26">
        <f t="shared" ref="D330" si="149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0">+B330/D330-1</f>
        <v>3.984191821719163E-3</v>
      </c>
      <c r="H330" s="42">
        <f>(+B330/(D330*(1-VLOOKUP(A330,FX!A:K,9,0)))-1)</f>
        <v>2.2504864111507761E-3</v>
      </c>
      <c r="I330" s="25">
        <f t="shared" si="91"/>
        <v>2.1764437920737123E-3</v>
      </c>
      <c r="J330">
        <v>3399.1936999999998</v>
      </c>
      <c r="K330">
        <v>3428.6491000000001</v>
      </c>
      <c r="L330" s="25">
        <f t="shared" ref="L330" si="151">+K330/J330-1</f>
        <v>8.6654079171775145E-3</v>
      </c>
      <c r="M330">
        <f t="shared" ref="M330" si="152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3">B331/B330-1</f>
        <v>-2.525252525252597E-3</v>
      </c>
      <c r="D331" s="26">
        <f t="shared" ref="D331" si="154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5">+B331/D331-1</f>
        <v>5.1228414605799522E-3</v>
      </c>
      <c r="H331" s="42">
        <f>(+B331/(D331*(1-VLOOKUP(A331,FX!A:K,9,0)))-1)</f>
        <v>3.7076173463512774E-3</v>
      </c>
      <c r="I331" s="25">
        <f t="shared" si="91"/>
        <v>2.665312856961366E-3</v>
      </c>
      <c r="J331">
        <v>3428.6491000000001</v>
      </c>
      <c r="K331">
        <v>3409.9656</v>
      </c>
      <c r="L331" s="25">
        <f t="shared" ref="L331" si="156">+K331/J331-1</f>
        <v>-5.4492307188858113E-3</v>
      </c>
      <c r="M331">
        <f t="shared" ref="M331" si="157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58">B332/B331-1</f>
        <v>-8.8607594936709333E-3</v>
      </c>
      <c r="D332" s="26">
        <f t="shared" ref="D332" si="159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0">+B332/D332-1</f>
        <v>-2.7526726907691756E-3</v>
      </c>
      <c r="H332" s="42">
        <f>(+B332/(D332*(1-VLOOKUP(A332,FX!A:K,9,0)))-1)</f>
        <v>-2.1493408420929505E-3</v>
      </c>
      <c r="I332" s="25">
        <f t="shared" si="91"/>
        <v>-2.2681515838833821E-3</v>
      </c>
      <c r="J332">
        <v>3409.9656</v>
      </c>
      <c r="K332">
        <v>3398.1127000000001</v>
      </c>
      <c r="L332" s="25">
        <f t="shared" ref="L332" si="161">+K332/J332-1</f>
        <v>-3.4759588190567126E-3</v>
      </c>
      <c r="M332">
        <f t="shared" ref="M332" si="162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3">B333/B332-1</f>
        <v>2.5542784163474774E-3</v>
      </c>
      <c r="D333" s="26">
        <f t="shared" ref="D333" si="164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5">+B333/D333-1</f>
        <v>-1.4054370302007957E-3</v>
      </c>
      <c r="H333" s="42">
        <f>(+B333/(D333*(1-VLOOKUP(A333,FX!A:K,9,0)))-1)</f>
        <v>-6.8767968271787883E-4</v>
      </c>
      <c r="I333" s="25">
        <f t="shared" si="91"/>
        <v>5.0958010599400083E-5</v>
      </c>
      <c r="J333">
        <v>3398.1127000000001</v>
      </c>
      <c r="K333">
        <v>3403.8492000000001</v>
      </c>
      <c r="L333" s="25">
        <f t="shared" ref="L333" si="166">+K333/J333-1</f>
        <v>1.6881429506443446E-3</v>
      </c>
      <c r="M333">
        <f t="shared" ref="M333" si="167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68">B334/B333-1</f>
        <v>5.0955414012738842E-3</v>
      </c>
      <c r="D334" s="26">
        <f t="shared" ref="D334" si="169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0">+B334/D334-1</f>
        <v>2.9693881418508816E-3</v>
      </c>
      <c r="H334" s="42">
        <f>(+B334/(D334*(1-VLOOKUP(A334,FX!A:K,9,0)))-1)</f>
        <v>1.7854117946363157E-3</v>
      </c>
      <c r="I334" s="25">
        <f t="shared" si="91"/>
        <v>1.5486557160628855E-3</v>
      </c>
      <c r="J334">
        <v>3403.8492000000001</v>
      </c>
      <c r="K334">
        <v>3411.2386999999999</v>
      </c>
      <c r="L334" s="25">
        <f t="shared" ref="L334" si="171">+K334/J334-1</f>
        <v>2.170924610878755E-3</v>
      </c>
      <c r="M334">
        <f t="shared" ref="M334" si="172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3">B335/B334-1</f>
        <v>3.8022813688212143E-3</v>
      </c>
      <c r="D335" s="26">
        <f t="shared" ref="D335" si="174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5">+B335/D335-1</f>
        <v>1.5530984773932666E-3</v>
      </c>
      <c r="H335" s="42">
        <f>(+B335/(D335*(1-VLOOKUP(A335,FX!A:K,9,0)))-1)</f>
        <v>1.70743927371797E-3</v>
      </c>
      <c r="I335" s="25">
        <f t="shared" si="91"/>
        <v>2.1257212268448455E-3</v>
      </c>
      <c r="J335">
        <v>3411.2386999999999</v>
      </c>
      <c r="K335">
        <v>3424.194</v>
      </c>
      <c r="L335" s="25">
        <f t="shared" ref="L335" si="176">+K335/J335-1</f>
        <v>3.7978286304034548E-3</v>
      </c>
      <c r="M335">
        <f t="shared" ref="M335" si="177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78">B336/B335-1</f>
        <v>-2.525252525252597E-3</v>
      </c>
      <c r="D336" s="26">
        <f t="shared" ref="D336" si="179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0">+B336/D336-1</f>
        <v>-3.969881519632068E-4</v>
      </c>
      <c r="H336" s="42">
        <f>(+B336/(D336*(1-VLOOKUP(A336,FX!A:K,9,0)))-1)</f>
        <v>1.8620313687156553E-5</v>
      </c>
      <c r="I336" s="25">
        <f t="shared" si="91"/>
        <v>7.0936359951345729E-4</v>
      </c>
      <c r="J336">
        <v>3424.194</v>
      </c>
      <c r="K336">
        <v>3424.1669000000002</v>
      </c>
      <c r="L336" s="25">
        <f t="shared" ref="L336" si="181">+K336/J336-1</f>
        <v>-7.914271212383639E-6</v>
      </c>
      <c r="M336">
        <f t="shared" ref="M336" si="182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3">B337/B336-1</f>
        <v>2.6582278481012578E-2</v>
      </c>
      <c r="D337" s="26">
        <f t="shared" ref="D337" si="184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5">+B337/D337-1</f>
        <v>9.1875061597381791E-3</v>
      </c>
      <c r="H337" s="42">
        <f>(+B337/(D337*(1-VLOOKUP(A337,FX!A:K,9,0)))-1)</f>
        <v>5.405950771600665E-3</v>
      </c>
      <c r="I337" s="25">
        <f t="shared" si="91"/>
        <v>5.1060876462423188E-3</v>
      </c>
      <c r="J337">
        <v>3424.1669000000002</v>
      </c>
      <c r="K337">
        <v>3485.6581000000001</v>
      </c>
      <c r="L337" s="25">
        <f t="shared" ref="L337" si="186">+K337/J337-1</f>
        <v>1.795800315691376E-2</v>
      </c>
      <c r="M337">
        <f t="shared" ref="M337" si="187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88">B338/B337-1</f>
        <v>-1.2330456226880004E-3</v>
      </c>
      <c r="D338" s="26">
        <f t="shared" ref="D338" si="189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0">+B338/D338-1</f>
        <v>5.3733964715123594E-3</v>
      </c>
      <c r="H338" s="42">
        <f>(+B338/(D338*(1-VLOOKUP(A338,FX!A:K,9,0)))-1)</f>
        <v>3.5987128406049784E-3</v>
      </c>
      <c r="I338" s="25">
        <f t="shared" si="91"/>
        <v>2.2023706416569588E-3</v>
      </c>
      <c r="J338">
        <v>3485.6581000000001</v>
      </c>
      <c r="K338">
        <v>3480.4344999999998</v>
      </c>
      <c r="L338" s="25">
        <f t="shared" ref="L338" si="191">+K338/J338-1</f>
        <v>-1.4985979261707971E-3</v>
      </c>
      <c r="M338">
        <f t="shared" ref="M338" si="192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3">B339/B338-1</f>
        <v>2.4691358024691024E-3</v>
      </c>
      <c r="D339" s="26">
        <f t="shared" ref="D339" si="194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5">+B339/D339-1</f>
        <v>4.6769443963277091E-3</v>
      </c>
      <c r="H339" s="42">
        <f>(+B339/(D339*(1-VLOOKUP(A339,FX!A:K,9,0)))-1)</f>
        <v>8.6952246604909966E-4</v>
      </c>
      <c r="I339" s="25">
        <f t="shared" si="91"/>
        <v>9.8619329388549559E-4</v>
      </c>
      <c r="J339">
        <v>3480.4344999999998</v>
      </c>
      <c r="K339">
        <v>3480.4344999999998</v>
      </c>
      <c r="L339" s="25">
        <f t="shared" ref="L339" si="196">+K339/J339-1</f>
        <v>0</v>
      </c>
      <c r="M339">
        <f t="shared" ref="M339" si="197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198">B340/B339-1</f>
        <v>0</v>
      </c>
      <c r="D340" s="26">
        <f t="shared" ref="D340" si="199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0">+B340/D340-1</f>
        <v>9.8619329388549559E-4</v>
      </c>
      <c r="H340" s="42">
        <f>(+B340/(D340*(1-VLOOKUP(A340,FX!A:K,9,0)))-1)</f>
        <v>2.4007969961807873E-3</v>
      </c>
      <c r="I340" s="25">
        <f t="shared" si="91"/>
        <v>2.4691358024691024E-3</v>
      </c>
      <c r="J340">
        <v>3480.4344999999998</v>
      </c>
      <c r="K340">
        <v>3480.4344999999998</v>
      </c>
      <c r="L340" s="25">
        <f t="shared" ref="L340" si="201">+K340/J340-1</f>
        <v>0</v>
      </c>
      <c r="M340">
        <f t="shared" ref="M340" si="202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3">B341/B340-1</f>
        <v>4.9261083743841194E-3</v>
      </c>
      <c r="D341" s="26">
        <f t="shared" ref="D341" si="204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5">+B341/D341-1</f>
        <v>3.8166152634866446E-3</v>
      </c>
      <c r="H341" s="42">
        <f>(+B341/(D341*(1-VLOOKUP(A341,FX!A:K,9,0)))-1)</f>
        <v>-1.0694883540902644E-3</v>
      </c>
      <c r="I341" s="25">
        <f t="shared" si="91"/>
        <v>-4.6546951174708528E-4</v>
      </c>
      <c r="J341">
        <v>3480.4344999999998</v>
      </c>
      <c r="K341">
        <v>3492.8845000000001</v>
      </c>
      <c r="L341" s="25">
        <f t="shared" ref="L341" si="206">+K341/J341-1</f>
        <v>3.5771395784061077E-3</v>
      </c>
      <c r="M341">
        <f t="shared" ref="M341" si="207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08">B342/B341-1</f>
        <v>3.6764705882355031E-3</v>
      </c>
      <c r="D342" s="26">
        <f t="shared" ref="D342" si="209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0">+B342/D342-1</f>
        <v>1.8171681828000885E-3</v>
      </c>
      <c r="H342" s="42">
        <f>(+B342/(D342*(1-VLOOKUP(A342,FX!A:K,9,0)))-1)</f>
        <v>-5.9646227642430327E-3</v>
      </c>
      <c r="I342" s="25">
        <f t="shared" si="91"/>
        <v>-6.8152603623486963E-3</v>
      </c>
      <c r="J342">
        <v>3492.8845000000001</v>
      </c>
      <c r="K342">
        <v>3497.7381999999998</v>
      </c>
      <c r="L342" s="25">
        <f t="shared" ref="L342" si="211">+K342/J342-1</f>
        <v>1.3895964782115744E-3</v>
      </c>
      <c r="M342">
        <f t="shared" ref="M342" si="212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3">B343/B342-1</f>
        <v>-3.663003663003761E-3</v>
      </c>
      <c r="D343" s="26">
        <f t="shared" ref="D343" si="214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5">+B343/D343-1</f>
        <v>-7.2657541706688811E-3</v>
      </c>
      <c r="H343" s="42">
        <f>(+B343/(D343*(1-VLOOKUP(A343,FX!A:K,9,0)))-1)</f>
        <v>-4.6221638661114728E-4</v>
      </c>
      <c r="I343" s="25">
        <f t="shared" si="91"/>
        <v>5.6404345586957838E-4</v>
      </c>
      <c r="J343">
        <v>3497.7381999999998</v>
      </c>
      <c r="K343">
        <v>3486.5074</v>
      </c>
      <c r="L343" s="25">
        <f t="shared" ref="L343" si="216">+K343/J343-1</f>
        <v>-3.2108749591378549E-3</v>
      </c>
      <c r="M343">
        <f t="shared" ref="M343" si="217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18">B344/B343-1</f>
        <v>-4.9019607843135971E-3</v>
      </c>
      <c r="D344" s="26">
        <f t="shared" ref="D344" si="219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0">+B344/D344-1</f>
        <v>7.5525084068583936E-4</v>
      </c>
      <c r="H344" s="42">
        <f>(+B344/(D344*(1-VLOOKUP(A344,FX!A:K,9,0)))-1)</f>
        <v>-6.7751748484612406E-5</v>
      </c>
      <c r="I344" s="25">
        <f t="shared" si="91"/>
        <v>-4.4315328179622693E-4</v>
      </c>
      <c r="J344">
        <v>3486.5074</v>
      </c>
      <c r="K344">
        <v>3468.7538</v>
      </c>
      <c r="L344" s="25">
        <f t="shared" ref="L344" si="221">+K344/J344-1</f>
        <v>-5.0920872848283505E-3</v>
      </c>
      <c r="M344">
        <f t="shared" ref="M344" si="222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3">B345/B344-1</f>
        <v>1.2315270935960632E-2</v>
      </c>
      <c r="D345" s="26">
        <f t="shared" ref="D345" si="224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5">+B345/D345-1</f>
        <v>4.8769824663263961E-3</v>
      </c>
      <c r="H345" s="42">
        <f>(+B345/(D345*(1-VLOOKUP(A345,FX!A:K,9,0)))-1)</f>
        <v>2.7628976351359302E-3</v>
      </c>
      <c r="I345" s="25">
        <f t="shared" si="91"/>
        <v>2.1945866861741159E-3</v>
      </c>
      <c r="J345">
        <v>3468.7538</v>
      </c>
      <c r="K345">
        <v>3492.8816000000002</v>
      </c>
      <c r="L345" s="25">
        <f t="shared" ref="L345" si="226">+K345/J345-1</f>
        <v>6.9557545421643496E-3</v>
      </c>
      <c r="M345">
        <f t="shared" ref="M345" si="227">WEEKDAY(A345,2)</f>
        <v>2</v>
      </c>
      <c r="N345" t="s">
        <v>382</v>
      </c>
    </row>
    <row r="346" spans="1:14" x14ac:dyDescent="0.15">
      <c r="A346" s="1">
        <v>42893</v>
      </c>
      <c r="B346">
        <v>41.45</v>
      </c>
      <c r="C346" s="25">
        <f t="shared" ref="C346" si="228">B346/B345-1</f>
        <v>8.5158150851580849E-3</v>
      </c>
      <c r="D346" s="26">
        <f t="shared" ref="D346" si="229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0">+B346/D346-1</f>
        <v>-9.9459106792731955E-4</v>
      </c>
      <c r="H346" s="42">
        <f>(+B346/(D346*(1-VLOOKUP(A346,FX!A:K,9,0)))-1)</f>
        <v>-8.7798475354772254E-4</v>
      </c>
      <c r="I346" s="25">
        <f t="shared" si="91"/>
        <v>-1.3973209983617618E-3</v>
      </c>
      <c r="J346">
        <v>3492.8816000000002</v>
      </c>
      <c r="K346">
        <v>3533.8717999999999</v>
      </c>
      <c r="L346" s="25">
        <f t="shared" ref="L346" si="231">+K346/J346-1</f>
        <v>1.1735353411349347E-2</v>
      </c>
      <c r="M346">
        <f t="shared" ref="M346" si="232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3">B347/B346-1</f>
        <v>1.2062726176115701E-2</v>
      </c>
      <c r="D347" s="26">
        <f t="shared" ref="D347" si="234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5">+B347/D347-1</f>
        <v>2.9553138609292873E-3</v>
      </c>
      <c r="H347" s="42">
        <f>(+B347/(D347*(1-VLOOKUP(A347,FX!A:K,9,0)))-1)</f>
        <v>2.9790198349926023E-3</v>
      </c>
      <c r="I347" s="25">
        <f t="shared" si="91"/>
        <v>1.3128058240841067E-3</v>
      </c>
      <c r="J347">
        <v>3533.8717999999999</v>
      </c>
      <c r="K347">
        <v>3560.9785999999999</v>
      </c>
      <c r="L347" s="25">
        <f t="shared" ref="L347" si="236">+K347/J347-1</f>
        <v>7.6705668836090091E-3</v>
      </c>
      <c r="M347">
        <f t="shared" ref="M347" si="237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38">B348/B347-1</f>
        <v>3.5756853396899935E-3</v>
      </c>
      <c r="D348" s="26">
        <f t="shared" ref="D348" si="239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0">+B348/D348-1</f>
        <v>6.243629664204331E-4</v>
      </c>
      <c r="H348" s="42">
        <f>(+B348/(D348*(1-VLOOKUP(A348,FX!A:K,9,0)))-1)</f>
        <v>3.227773159772962E-3</v>
      </c>
      <c r="I348" s="25">
        <f t="shared" si="91"/>
        <v>3.0257546517999945E-3</v>
      </c>
      <c r="J348">
        <v>3560.9785999999999</v>
      </c>
      <c r="K348">
        <v>3576.1703000000002</v>
      </c>
      <c r="L348" s="25">
        <f t="shared" ref="L348" si="241">+K348/J348-1</f>
        <v>4.2661587463626027E-3</v>
      </c>
      <c r="M348">
        <f t="shared" ref="M348" si="242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3">B349/B348-1</f>
        <v>-1.1876484560571221E-3</v>
      </c>
      <c r="D349" s="26">
        <f t="shared" ref="D349" si="244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5">+B349/D349-1</f>
        <v>2.3336656325261274E-3</v>
      </c>
      <c r="H349" s="42">
        <f>(+B349/(D349*(1-VLOOKUP(A349,FX!A:K,9,0)))-1)</f>
        <v>2.2864086605884903E-3</v>
      </c>
      <c r="I349" s="25">
        <f t="shared" si="91"/>
        <v>2.3837902264598476E-3</v>
      </c>
      <c r="J349">
        <v>3576.1703000000002</v>
      </c>
      <c r="K349">
        <v>3574.3894</v>
      </c>
      <c r="L349" s="25">
        <f t="shared" ref="L349" si="246">+K349/J349-1</f>
        <v>-4.979908255487997E-4</v>
      </c>
      <c r="M349">
        <f t="shared" ref="M349" si="247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48">B350/B349-1</f>
        <v>2.3781212841855748E-3</v>
      </c>
      <c r="D350" s="26">
        <f t="shared" ref="D350" si="249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0">+B350/D350-1</f>
        <v>2.5579299397262556E-3</v>
      </c>
      <c r="H350" s="42">
        <f>(+B350/(D350*(1-VLOOKUP(A350,FX!A:K,9,0)))-1)</f>
        <v>2.9672020935682664E-3</v>
      </c>
      <c r="I350" s="25">
        <f t="shared" ref="I350:I355" si="251">+B350/F350-1</f>
        <v>3.2608954371267096E-3</v>
      </c>
      <c r="J350">
        <v>3574.3894</v>
      </c>
      <c r="K350">
        <v>3582.2674000000002</v>
      </c>
      <c r="L350" s="25">
        <f t="shared" ref="L350" si="252">+K350/J350-1</f>
        <v>2.2040128028579797E-3</v>
      </c>
      <c r="M350">
        <f t="shared" ref="M350" si="253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4">B351/B350-1</f>
        <v>-1.3048635824436494E-2</v>
      </c>
      <c r="D351" s="26">
        <f t="shared" ref="D351" si="255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6">+B351/D351-1</f>
        <v>3.3247460430814169E-3</v>
      </c>
      <c r="H351" s="42">
        <f>(+B351/(D351*(1-VLOOKUP(A351,FX!A:K,9,0)))-1)</f>
        <v>3.3779461651330944E-3</v>
      </c>
      <c r="I351" s="25">
        <f t="shared" si="251"/>
        <v>9.1429671334397611E-4</v>
      </c>
      <c r="J351">
        <v>3582.2674000000002</v>
      </c>
      <c r="K351">
        <v>3535.2986999999998</v>
      </c>
      <c r="L351" s="25">
        <f t="shared" ref="L351" si="257">+K351/J351-1</f>
        <v>-1.3111444444376286E-2</v>
      </c>
      <c r="M351">
        <f t="shared" ref="M351" si="258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59">B352/B351-1</f>
        <v>-2.4038461538461453E-3</v>
      </c>
      <c r="D352" s="26">
        <f t="shared" ref="D352" si="260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1">+B352/D352-1</f>
        <v>3.4922081243315972E-4</v>
      </c>
      <c r="H352" s="42">
        <f>(+B352/(D352*(1-VLOOKUP(A352,FX!A:K,9,0)))-1)</f>
        <v>-3.9230146541557875E-4</v>
      </c>
      <c r="I352" s="25">
        <f t="shared" si="251"/>
        <v>-2.8907303912117932E-4</v>
      </c>
      <c r="J352">
        <v>3535.2986999999998</v>
      </c>
      <c r="K352">
        <v>3528.7926000000002</v>
      </c>
      <c r="L352" s="25">
        <f t="shared" ref="L352" si="262">+K352/J352-1</f>
        <v>-1.8403254016413628E-3</v>
      </c>
      <c r="M352">
        <f t="shared" ref="M352" si="263">WEEKDAY(A352,2)</f>
        <v>4</v>
      </c>
    </row>
    <row r="353" spans="1:13" x14ac:dyDescent="0.15">
      <c r="A353" s="1">
        <v>42902</v>
      </c>
      <c r="B353">
        <v>41.4</v>
      </c>
      <c r="C353" s="25">
        <f t="shared" ref="C353" si="264">B353/B352-1</f>
        <v>-2.4096385542169418E-3</v>
      </c>
      <c r="D353" s="26">
        <f t="shared" ref="D353" si="265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6">+B353/D353-1</f>
        <v>1.4515464579334392E-4</v>
      </c>
      <c r="H353" s="42">
        <f>(+B353/(D353*(1-VLOOKUP(A353,FX!A:K,9,0)))-1)</f>
        <v>6.3280667497411791E-3</v>
      </c>
      <c r="I353" s="25">
        <f t="shared" si="251"/>
        <v>4.1475660336169895E-3</v>
      </c>
      <c r="J353">
        <v>3528.7926000000002</v>
      </c>
      <c r="K353">
        <v>3518.7611000000002</v>
      </c>
      <c r="L353" s="25">
        <f t="shared" ref="L353" si="267">+K353/J353-1</f>
        <v>-2.8427570382005829E-3</v>
      </c>
      <c r="M353">
        <f t="shared" ref="M353" si="268">WEEKDAY(A353,2)</f>
        <v>5</v>
      </c>
    </row>
    <row r="354" spans="1:13" x14ac:dyDescent="0.15">
      <c r="A354" s="1">
        <v>42905</v>
      </c>
      <c r="B354">
        <v>41.7</v>
      </c>
      <c r="C354" s="25">
        <f t="shared" ref="C354" si="269">B354/B353-1</f>
        <v>7.2463768115942351E-3</v>
      </c>
      <c r="D354" s="26">
        <f t="shared" ref="D354" si="270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1">+B354/D354-1</f>
        <v>1.4897628690895282E-3</v>
      </c>
      <c r="H354" s="42">
        <f>(+B354/(D354*(1-VLOOKUP(A354,FX!A:K,9,0)))-1)</f>
        <v>-6.6369811852973193E-4</v>
      </c>
      <c r="I354" s="25">
        <f t="shared" si="251"/>
        <v>-7.1937270699984346E-5</v>
      </c>
      <c r="J354">
        <v>3518.7611000000002</v>
      </c>
      <c r="K354">
        <v>3553.6653000000001</v>
      </c>
      <c r="L354" s="25">
        <f t="shared" ref="L354" si="272">+K354/J354-1</f>
        <v>9.9194571634886319E-3</v>
      </c>
      <c r="M354">
        <f t="shared" ref="M354" si="273">WEEKDAY(A354,2)</f>
        <v>1</v>
      </c>
    </row>
    <row r="355" spans="1:13" x14ac:dyDescent="0.15">
      <c r="A355" s="1">
        <v>42906</v>
      </c>
      <c r="B355">
        <v>41.6</v>
      </c>
      <c r="C355" s="25">
        <f t="shared" ref="C355:C357" si="274">B355/B354-1</f>
        <v>-2.3980815347721673E-3</v>
      </c>
      <c r="D355" s="26">
        <f t="shared" ref="D355" si="275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6">+B355/D355-1</f>
        <v>-4.5275899844565703E-4</v>
      </c>
      <c r="H355" s="42">
        <f>(+B355/(D355*(1-VLOOKUP(A355,FX!A:K,9,0)))-1)</f>
        <v>2.5988001699890351E-3</v>
      </c>
      <c r="I355" s="25">
        <f t="shared" si="251"/>
        <v>2.1440100214400459E-3</v>
      </c>
      <c r="J355">
        <v>3553.6653000000001</v>
      </c>
      <c r="K355">
        <v>3546.4940000000001</v>
      </c>
      <c r="L355" s="25">
        <f t="shared" ref="L355" si="277">+K355/J355-1</f>
        <v>-2.0180009636810992E-3</v>
      </c>
      <c r="M355">
        <f t="shared" ref="M355" si="278">WEEKDAY(A355,2)</f>
        <v>2</v>
      </c>
    </row>
    <row r="356" spans="1:13" x14ac:dyDescent="0.15">
      <c r="A356" s="1">
        <v>42907</v>
      </c>
      <c r="B356">
        <v>41.95</v>
      </c>
      <c r="C356" s="25">
        <f t="shared" si="274"/>
        <v>8.4134615384616751E-3</v>
      </c>
      <c r="D356" s="26">
        <f t="shared" ref="D356:D357" si="279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0">+B356/D356-1</f>
        <v>-1.1023039204782759E-3</v>
      </c>
      <c r="H356" s="42">
        <f>(+B356/(D356*(1-VLOOKUP(A356,FX!A:K,9,0)))-1)</f>
        <v>-1.5941181483127842E-3</v>
      </c>
      <c r="I356" s="25">
        <f t="shared" ref="I356:I359" si="281">+B356/F356-1</f>
        <v>-1.4282313734823582E-3</v>
      </c>
      <c r="J356">
        <v>3546.4940000000001</v>
      </c>
      <c r="K356">
        <v>3587.9549999999999</v>
      </c>
      <c r="L356" s="25">
        <f t="shared" ref="L356:L357" si="282">+K356/J356-1</f>
        <v>1.1690700731482817E-2</v>
      </c>
      <c r="M356">
        <f t="shared" ref="M356:M357" si="283">WEEKDAY(A356,2)</f>
        <v>3</v>
      </c>
    </row>
    <row r="357" spans="1:13" x14ac:dyDescent="0.15">
      <c r="A357" s="1">
        <v>42908</v>
      </c>
      <c r="B357">
        <v>42.05</v>
      </c>
      <c r="C357" s="25">
        <f t="shared" si="274"/>
        <v>2.3837902264598476E-3</v>
      </c>
      <c r="D357" s="26">
        <f t="shared" si="279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0"/>
        <v>2.8654274583228556E-4</v>
      </c>
      <c r="H357" s="42">
        <f>(+B357/(D357*(1-VLOOKUP(A357,FX!A:K,9,0)))-1)</f>
        <v>4.0518818845414195E-4</v>
      </c>
      <c r="I357" s="25">
        <f t="shared" si="281"/>
        <v>-9.5115803490863904E-5</v>
      </c>
      <c r="J357">
        <v>3587.9549999999999</v>
      </c>
      <c r="K357">
        <v>3590.3425000000002</v>
      </c>
      <c r="L357" s="25">
        <f t="shared" si="282"/>
        <v>6.654208316436705E-4</v>
      </c>
      <c r="M357">
        <f t="shared" si="283"/>
        <v>4</v>
      </c>
    </row>
    <row r="358" spans="1:13" x14ac:dyDescent="0.15">
      <c r="A358" s="1">
        <v>42909</v>
      </c>
      <c r="B358">
        <v>42.35</v>
      </c>
      <c r="C358" s="25">
        <f t="shared" ref="C358" si="284">B358/B357-1</f>
        <v>7.1343638525565023E-3</v>
      </c>
      <c r="D358" s="26">
        <f t="shared" ref="D358" si="285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6">+B358/D358-1</f>
        <v>-2.0066131680064325E-3</v>
      </c>
      <c r="H358" s="42">
        <f>(+B358/(D358*(1-VLOOKUP(A358,FX!A:K,9,0)))-1)</f>
        <v>-5.1074580511223377E-4</v>
      </c>
      <c r="I358" s="25">
        <f t="shared" si="281"/>
        <v>3.0706001842362163E-4</v>
      </c>
      <c r="J358">
        <v>3590.3425000000002</v>
      </c>
      <c r="K358">
        <v>3622.8831</v>
      </c>
      <c r="L358" s="25">
        <f t="shared" ref="L358" si="287">+K358/J358-1</f>
        <v>9.0633693025108375E-3</v>
      </c>
      <c r="M358">
        <f t="shared" ref="M358" si="288">WEEKDAY(A358,2)</f>
        <v>5</v>
      </c>
    </row>
    <row r="359" spans="1:13" x14ac:dyDescent="0.15">
      <c r="A359" s="1">
        <v>42912</v>
      </c>
      <c r="B359">
        <v>42.95</v>
      </c>
      <c r="C359" s="25">
        <f t="shared" ref="C359" si="289">B359/B358-1</f>
        <v>1.4167650531286879E-2</v>
      </c>
      <c r="D359" s="26">
        <f t="shared" ref="D359" si="290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1">+B359/D359-1</f>
        <v>1.9757261057835596E-3</v>
      </c>
      <c r="H359" s="42">
        <f>(+B359/(D359*(1-VLOOKUP(A359,FX!A:K,9,0)))-1)</f>
        <v>3.2406269144586997E-3</v>
      </c>
      <c r="I359" s="25">
        <f t="shared" si="281"/>
        <v>3.2233953097262624E-3</v>
      </c>
      <c r="J359">
        <v>3622.8831</v>
      </c>
      <c r="K359">
        <v>3668.0918999999999</v>
      </c>
      <c r="L359" s="25">
        <f t="shared" ref="L359" si="292">+K359/J359-1</f>
        <v>1.2478680308508849E-2</v>
      </c>
      <c r="M359">
        <f t="shared" ref="M359" si="293">WEEKDAY(A359,2)</f>
        <v>1</v>
      </c>
    </row>
    <row r="360" spans="1:13" x14ac:dyDescent="0.15">
      <c r="A360" s="1">
        <v>42913</v>
      </c>
    </row>
    <row r="361" spans="1:13" x14ac:dyDescent="0.15">
      <c r="A361" s="1">
        <v>42914</v>
      </c>
    </row>
    <row r="362" spans="1:13" x14ac:dyDescent="0.15">
      <c r="A362" s="1">
        <v>42915</v>
      </c>
    </row>
    <row r="363" spans="1:13" x14ac:dyDescent="0.15">
      <c r="A363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69"/>
  <sheetViews>
    <sheetView zoomScale="115" zoomScaleNormal="115" workbookViewId="0">
      <pane xSplit="1" ySplit="2" topLeftCell="B341" activePane="bottomRight" state="frozen"/>
      <selection pane="topRight" activeCell="B1" sqref="B1"/>
      <selection pane="bottomLeft" activeCell="A3" sqref="A3"/>
      <selection pane="bottomRight" activeCell="D365" sqref="D365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64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0">B364/B363-1</f>
        <v>7.5490689481627626E-4</v>
      </c>
      <c r="D364" s="38">
        <f t="shared" ref="D364" si="281">+F363*(1+L364)</f>
        <v>39.819987209377075</v>
      </c>
      <c r="F364">
        <v>39.82</v>
      </c>
      <c r="G364" s="42">
        <f>+B364/D364-1</f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2">+K364/J364-1</f>
        <v>1.7606845126307835E-3</v>
      </c>
      <c r="M364">
        <f t="shared" ref="M364" si="283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4">B365/B364-1</f>
        <v>1.1566507417651417E-2</v>
      </c>
      <c r="D365" s="38">
        <f t="shared" ref="D365" si="285">+F364*(1+L365)</f>
        <v>40.187309671361085</v>
      </c>
      <c r="G365" s="42">
        <f>+B365/D365-1</f>
        <v>1.0622838151650438E-3</v>
      </c>
      <c r="J365">
        <v>17762.96</v>
      </c>
      <c r="K365">
        <v>17926.810000000001</v>
      </c>
      <c r="L365" s="25">
        <f t="shared" ref="L365" si="286">+K365/J365-1</f>
        <v>9.2242509131361672E-3</v>
      </c>
      <c r="M365">
        <f t="shared" ref="M365" si="287">WEEKDAY(A365,2)</f>
        <v>1</v>
      </c>
    </row>
    <row r="366" spans="1:13" x14ac:dyDescent="0.15">
      <c r="A366" s="1">
        <v>42913</v>
      </c>
    </row>
    <row r="367" spans="1:13" x14ac:dyDescent="0.15">
      <c r="A367" s="1">
        <v>42914</v>
      </c>
    </row>
    <row r="368" spans="1:13" x14ac:dyDescent="0.15">
      <c r="A368" s="1">
        <v>42915</v>
      </c>
    </row>
    <row r="369" spans="1:1" x14ac:dyDescent="0.15">
      <c r="A369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69"/>
  <sheetViews>
    <sheetView zoomScale="115" zoomScaleNormal="115" workbookViewId="0">
      <pane xSplit="1" ySplit="2" topLeftCell="B339" activePane="bottomRight" state="frozen"/>
      <selection pane="topRight" activeCell="B1" sqref="B1"/>
      <selection pane="bottomLeft" activeCell="A3" sqref="A3"/>
      <selection pane="bottomRight" activeCell="B365" sqref="B36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6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</row>
    <row r="367" spans="1:13" x14ac:dyDescent="0.15">
      <c r="A367" s="1">
        <v>42914</v>
      </c>
    </row>
    <row r="368" spans="1:13" x14ac:dyDescent="0.15">
      <c r="A368" s="1">
        <v>42915</v>
      </c>
    </row>
    <row r="369" spans="1:1" x14ac:dyDescent="0.15">
      <c r="A369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69"/>
  <sheetViews>
    <sheetView zoomScale="115" zoomScaleNormal="115" workbookViewId="0">
      <pane xSplit="1" ySplit="2" topLeftCell="B344" activePane="bottomRight" state="frozen"/>
      <selection pane="topRight" activeCell="B1" sqref="B1"/>
      <selection pane="bottomLeft" activeCell="A3" sqref="A3"/>
      <selection pane="bottomRight" activeCell="E365" sqref="E36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64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383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384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386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396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397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</row>
    <row r="367" spans="1:14" x14ac:dyDescent="0.15">
      <c r="A367" s="1">
        <v>42914</v>
      </c>
    </row>
    <row r="368" spans="1:14" x14ac:dyDescent="0.15">
      <c r="A368" s="1">
        <v>42915</v>
      </c>
    </row>
    <row r="369" spans="1:1" x14ac:dyDescent="0.15">
      <c r="A369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70"/>
  <sheetViews>
    <sheetView zoomScale="115" zoomScaleNormal="115" workbookViewId="0">
      <pane xSplit="1" ySplit="2" topLeftCell="B339" activePane="bottomRight" state="frozen"/>
      <selection pane="topRight" activeCell="B1" sqref="B1"/>
      <selection pane="bottomLeft" activeCell="A3" sqref="A3"/>
      <selection pane="bottomRight" activeCell="C367" sqref="C36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65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</row>
    <row r="368" spans="1:13" x14ac:dyDescent="0.15">
      <c r="A368" s="1">
        <v>42914</v>
      </c>
    </row>
    <row r="369" spans="1:1" x14ac:dyDescent="0.15">
      <c r="A369" s="1">
        <v>42915</v>
      </c>
    </row>
    <row r="370" spans="1:1" x14ac:dyDescent="0.15">
      <c r="A370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2017-06-26T22:11:23Z</dcterms:modified>
</cp:coreProperties>
</file>