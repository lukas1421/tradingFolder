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79" i="20" l="1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B226" i="25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<sst xmlns="http://schemas.openxmlformats.org/spreadsheetml/2006/main" count="497" uniqueCount="401">
  <si>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</si>
  <si>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</si>
  <si>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</si>
  <si>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</si>
  <si>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</si>
  <si>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</si>
  <si>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</si>
  <si>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</si>
  <si>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</si>
  <si>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</si>
  <si>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</si>
  <si>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</si>
  <si>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</si>
  <si>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</si>
  <si>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</si>
  <si>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</si>
  <si>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</si>
  <si>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</si>
  <si>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</si>
  <si>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</si>
  <si>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</si>
  <si>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</si>
  <si>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</si>
  <si>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</si>
  <si>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</si>
  <si>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</si>
  <si>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</si>
  <si>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</si>
  <si>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</si>
  <si>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</si>
  <si>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</si>
  <si>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</si>
  <si>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</si>
  <si>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</si>
  <si>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</si>
  <si>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</si>
  <si>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</si>
  <si>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</si>
  <si>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</si>
  <si>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</si>
  <si>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</si>
  <si>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</si>
  <si>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</si>
  <si>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</si>
  <si>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</si>
  <si>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</si>
  <si>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</si>
  <si>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</si>
  <si>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</si>
  <si>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</si>
  <si>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</si>
  <si>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</si>
  <si>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</si>
  <si>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</si>
  <si>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</si>
  <si>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</si>
  <si>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</si>
  <si>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</si>
  <si>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</si>
  <si>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</si>
  <si>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</si>
  <si>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</si>
  <si>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</si>
  <si>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</si>
  <si>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</si>
  <si>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</si>
  <si>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</si>
  <si>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</si>
  <si>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</si>
  <si>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</si>
  <si>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</si>
  <si>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</si>
  <si>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</si>
  <si>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</si>
  <si>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</si>
  <si>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</si>
  <si>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</si>
  <si>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</si>
  <si>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</si>
  <si>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</si>
  <si>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</si>
  <si>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</si>
  <si>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</si>
  <si>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</si>
  <si>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</si>
  <si>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</si>
  <si>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</si>
  <si>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</si>
  <si>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</si>
  <si>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</si>
  <si>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</si>
  <si>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</si>
  <si>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</si>
  <si>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</si>
  <si>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</si>
  <si>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</si>
  <si>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</si>
  <si>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</si>
  <si>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</si>
  <si>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</si>
  <si>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</si>
  <si>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</si>
  <si>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</si>
  <si>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</si>
  <si>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</si>
  <si>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</si>
  <si>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</si>
  <si>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</si>
  <si>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</si>
  <si>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</si>
  <si>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</si>
  <si>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</si>
  <si>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</si>
  <si>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</si>
  <si>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</si>
  <si>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</si>
  <si>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</si>
  <si>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</si>
  <si>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</si>
  <si>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</si>
  <si>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</si>
  <si>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</si>
  <si>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</si>
  <si>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</si>
  <si>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</si>
  <si>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</si>
  <si>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</si>
  <si>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</si>
  <si>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</si>
  <si>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</si>
  <si>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</si>
  <si>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</si>
  <si>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</si>
  <si>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</si>
  <si>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</si>
  <si>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</si>
  <si>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</si>
  <si>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</si>
  <si>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</si>
  <si>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</si>
  <si>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</si>
  <si>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</si>
  <si>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</si>
  <si>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</si>
  <si>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</si>
  <si>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</si>
  <si>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</si>
  <si>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</si>
  <si>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</si>
  <si>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</si>
  <si>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</si>
  <si>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</si>
  <si>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</si>
  <si>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</si>
  <si>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</si>
  <si>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</si>
  <si>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</si>
  <si>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</si>
  <si>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</si>
  <si>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</si>
  <si>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</si>
  <si>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</si>
  <si>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</si>
  <si>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</si>
  <si>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</si>
  <si>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</si>
  <si>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</si>
  <si>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</si>
  <si>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</si>
  <si>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</si>
  <si>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</si>
  <si>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</si>
  <si>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</si>
  <si>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</si>
  <si>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</si>
  <si>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</si>
  <si>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</si>
  <si>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</si>
  <si>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</si>
  <si>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</si>
  <si>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</si>
  <si>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</si>
  <si>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</si>
  <si>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</si>
  <si>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</si>
  <si>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</si>
  <si>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</si>
  <si>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</si>
  <si>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</si>
  <si>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</si>
  <si>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</si>
  <si>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</si>
  <si>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</si>
  <si>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</si>
  <si>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</si>
  <si>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</si>
  <si>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</si>
  <si>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</si>
  <si>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</si>
  <si>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</si>
  <si>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</si>
  <si>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</si>
  <si>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</si>
  <si>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</si>
  <si>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</si>
  <si>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</si>
  <si>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</si>
  <si>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</si>
  <si>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</si>
  <si>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</si>
  <si>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</si>
  <si>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</si>
  <si>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</si>
  <si>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</si>
  <si>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</si>
  <si>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</si>
  <si>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</si>
  <si>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</si>
  <si>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</si>
  <si>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</si>
  <si>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</si>
  <si>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</si>
  <si>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</si>
  <si>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</si>
  <si>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</si>
  <si>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</si>
  <si>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</si>
  <si>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</si>
  <si>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</si>
  <si>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</si>
  <si>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</si>
  <si>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</si>
  <si>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</si>
  <si>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</si>
  <si>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</si>
  <si>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</si>
  <si>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</si>
  <si>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</si>
  <si>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</si>
  <si>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</si>
  <si>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</si>
  <si>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</si>
  <si>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</si>
  <si>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</si>
  <si>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</si>
  <si>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</si>
  <si>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</si>
  <si>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</si>
  <si>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</si>
  <si>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</si>
  <si>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</si>
  <si>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</si>
  <si>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</si>
  <si>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</si>
  <si>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</si>
  <si>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</si>
  <si>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</si>
  <si>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</si>
  <si>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</si>
  <si>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</si>
  <si>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</si>
  <si>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</si>
  <si>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</si>
  <si>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</si>
  <si>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</si>
  <si>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</si>
  <si>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</si>
  <si>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</si>
  <si>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</si>
  <si>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</si>
  <si>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</si>
  <si>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</si>
  <si>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</si>
  <si>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</si>
  <si>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</si>
  <si>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</si>
  <si>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</si>
  <si>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</si>
  <si>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</si>
  <si>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</si>
  <si>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</si>
  <si>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</si>
  <si>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</si>
  <si>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</si>
  <si>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</si>
  <si>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</si>
  <si>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</si>
  <si>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</si>
  <si>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</si>
  <si>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</si>
  <si>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</si>
  <si>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</si>
  <si>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</si>
  <si>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</si>
  <si>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</si>
  <si>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</si>
  <si>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</si>
  <si>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</si>
  <si>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</si>
  <si>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</si>
  <si>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</si>
  <si>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</si>
  <si>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</si>
  <si>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</si>
  <si>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</si>
  <si>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</si>
  <si>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</si>
  <si>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</si>
  <si>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</si>
  <si>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</si>
  <si>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</si>
  <si>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</si>
  <si>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</si>
  <si>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</si>
  <si>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</si>
  <si>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</si>
  <si>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</si>
  <si>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</si>
  <si>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</si>
  <si>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</si>
  <si>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</si>
  <si>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</si>
  <si>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</si>
  <si>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</si>
  <si>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</si>
  <si>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</si>
  <si>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</si>
  <si>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</si>
  <si>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</si>
  <si>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</si>
  <si>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</si>
  <si>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</si>
  <si>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</si>
  <si>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</si>
  <si>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</si>
  <si>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</si>
  <si>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</si>
  <si>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</si>
  <si>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</si>
  <si>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</si>
  <si>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</si>
  <si>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</si>
  <si>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</si>
  <si>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</si>
  <si>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</si>
  <si>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</si>
  <si>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</si>
  <si>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</si>
  <si>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</si>
  <si>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</si>
  <si>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</si>
  <si>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</si>
  <si>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</si>
  <si>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</si>
  <si>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</si>
  <si>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</si>
  <si>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</si>
  <si>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</si>
  <si>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</si>
  <si>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</si>
  <si>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</si>
  <si>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</si>
  <si>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</si>
  <si>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</si>
  <si>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</si>
  <si>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</si>
  <si>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</si>
  <si>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</si>
  <si>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</si>
  <si>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</si>
  <si>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</si>
  <si>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</si>
  <si>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</si>
  <si>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</si>
  <si>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</si>
  <si>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</si>
  <si>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</si>
  <si>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</si>
  <si>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</si>
  <si>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</si>
  <si>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</si>
  <si>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</si>
  <si>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</si>
  <si>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</si>
  <si>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</si>
  <si>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</si>
  <si>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</si>
  <si>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</si>
  <si>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</si>
  <si>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</si>
  <si>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</si>
  <si>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</si>
  <si>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</si>
  <si>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</si>
  <si>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</si>
  <si>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</si>
  <si>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</si>
  <si>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</si>
  <si>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</si>
  <si>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FTSEA50 2</t>
  </si>
  <si>
    <t>rmb rose more than 1% since 1.5 weeks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</si>
</sst>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7" sqref="D7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D10</f>
        <v>42915</v>
      </c>
    </row>
    <row r="2" spans="1:14">
      <c r="A2" t="s">
        <v>391</v>
      </c>
      <c r="B2" s="39">
        <v>6.78775</v>
      </c>
      <c r="C2" s="1">
        <v>42915</v>
      </c>
      <c r="D2" s="41">
        <v>13</v>
      </c>
    </row>
    <row r="3" spans="1:14">
      <c r="A3" t="s">
        <v>392</v>
      </c>
      <c r="B3" s="39">
        <v>6.7871050000000004</v>
      </c>
      <c r="C3" s="1">
        <v>42915</v>
      </c>
      <c r="D3" s="41">
        <v>16</v>
      </c>
      <c r="J3" s="91"/>
      <c r="K3" s="92"/>
      <c r="L3" s="93"/>
    </row>
    <row r="4" spans="1:14">
      <c r="A4" t="s">
        <v>393</v>
      </c>
      <c r="B4" s="39">
        <v>6.793285</v>
      </c>
      <c r="C4" s="1">
        <v>42916</v>
      </c>
      <c r="D4" s="41">
        <v>4</v>
      </c>
      <c r="J4" s="68"/>
      <c r="K4" s="69"/>
      <c r="L4" s="70"/>
    </row>
    <row r="5" spans="1:14">
      <c r="A5" t="s">
        <v>348</v>
      </c>
      <c r="B5" s="39">
        <v>3668.8279000000002</v>
      </c>
      <c r="C5" s="41">
        <v>3646.1666</v>
      </c>
      <c r="D5" s="25">
        <v>6.1999999999999998E-3</v>
      </c>
      <c r="J5" s="71"/>
      <c r="K5" s="72"/>
      <c r="L5" s="73"/>
      <c r="M5" s="74"/>
    </row>
    <row r="6" spans="1:14">
      <c r="A6" t="s">
        <v>349</v>
      </c>
      <c r="B6" s="39">
        <v>3188.0625</v>
      </c>
      <c r="C6" s="41">
        <v>3173.2013999999999</v>
      </c>
      <c r="D6" s="25">
        <v>4.7000000000000002E-3</v>
      </c>
      <c r="J6" s="75"/>
      <c r="K6" s="76"/>
      <c r="L6" s="77"/>
      <c r="M6" s="78"/>
    </row>
    <row r="7" spans="1:14">
      <c r="A7" t="s">
        <v>350</v>
      </c>
      <c r="B7">
        <v>1813.5519999999999</v>
      </c>
      <c r="C7" s="39">
        <v>1808.1990000000001</v>
      </c>
      <c r="D7" s="25">
        <v>3.0000000000000001E-3</v>
      </c>
      <c r="H7" s="96"/>
      <c r="J7" s="79"/>
      <c r="K7" s="80"/>
      <c r="L7" s="81"/>
      <c r="M7" s="82"/>
    </row>
    <row r="8" spans="1:14">
      <c r="A8" t="s">
        <v>351</v>
      </c>
      <c r="B8">
        <v>10511.86</v>
      </c>
      <c r="C8" s="39">
        <v>10451.565000000001</v>
      </c>
      <c r="D8" s="25">
        <v>5.7999999999999996E-3</v>
      </c>
      <c r="J8" s="83"/>
      <c r="K8" s="84"/>
      <c r="L8" s="85"/>
      <c r="M8" s="86"/>
    </row>
    <row r="9" spans="1:14">
      <c r="A9" t="s">
        <v>352</v>
      </c>
      <c r="B9">
        <v>6116.9931999999999</v>
      </c>
      <c r="C9" s="39">
        <v>6086.2111999999997</v>
      </c>
      <c r="D9" s="25">
        <v>5.1000000000000004E-3</v>
      </c>
      <c r="J9" s="87"/>
      <c r="K9" s="88"/>
      <c r="L9" s="89"/>
      <c r="M9" s="90"/>
    </row>
    <row r="10" spans="1:14">
      <c r="A10" t="s">
        <v>353</v>
      </c>
      <c r="B10">
        <v>12.52</v>
      </c>
      <c r="C10" s="39">
        <v>12.808999999999999</v>
      </c>
      <c r="D10" s="1">
        <v>42915</v>
      </c>
    </row>
    <row r="11" spans="1:14">
      <c r="A11" t="s">
        <v>354</v>
      </c>
      <c r="B11">
        <v>13.08</v>
      </c>
      <c r="C11" s="39">
        <v>13.086499999999999</v>
      </c>
      <c r="D11" s="1">
        <v>42915</v>
      </c>
    </row>
    <row r="12" spans="1:14">
      <c r="A12" t="s">
        <v>355</v>
      </c>
      <c r="B12">
        <v>7.69</v>
      </c>
      <c r="C12" s="1">
        <v>7.7830000000000004</v>
      </c>
      <c r="D12" s="1">
        <v>42915</v>
      </c>
      <c r="J12" s="53"/>
      <c r="K12" s="56"/>
      <c r="L12" s="59"/>
      <c r="M12" s="62"/>
      <c r="N12" s="65"/>
    </row>
    <row r="13" spans="1:14">
      <c r="A13" t="s">
        <v>356</v>
      </c>
      <c r="B13">
        <v>43.2</v>
      </c>
      <c r="C13" s="39">
        <v>43.27</v>
      </c>
      <c r="D13" s="1">
        <v>42915</v>
      </c>
      <c r="J13" s="54"/>
      <c r="K13" s="57"/>
      <c r="L13" s="60"/>
      <c r="M13" s="63"/>
      <c r="N13" s="66"/>
    </row>
    <row r="14" spans="1:14">
      <c r="A14" t="s">
        <v>357</v>
      </c>
      <c r="B14">
        <v>39.619999999999997</v>
      </c>
      <c r="C14" s="39">
        <v>39.79</v>
      </c>
      <c r="D14" s="1">
        <v>42914</v>
      </c>
      <c r="J14" s="55"/>
      <c r="K14" s="58"/>
      <c r="L14" s="61"/>
      <c r="M14" s="64"/>
      <c r="N14" s="67"/>
    </row>
    <row r="15" spans="1:14">
      <c r="A15" t="s">
        <v>358</v>
      </c>
      <c r="B15">
        <v>31.27</v>
      </c>
      <c r="C15">
        <v>30.944700000000001</v>
      </c>
      <c r="D15" s="1">
        <v>42914</v>
      </c>
    </row>
    <row r="16" spans="1:14">
      <c r="A16" t="s">
        <v>359</v>
      </c>
      <c r="B16">
        <v>27.09</v>
      </c>
      <c r="C16">
        <v>26.9375</v>
      </c>
      <c r="D16" s="1">
        <v>42914</v>
      </c>
    </row>
    <row r="17" spans="1:16">
      <c r="A17" t="s">
        <v>360</v>
      </c>
      <c r="B17">
        <v>32.69</v>
      </c>
      <c r="C17" s="1">
        <v>32.630099999999999</v>
      </c>
      <c r="D17" s="1">
        <v>42914</v>
      </c>
    </row>
    <row r="18" spans="1:16">
      <c r="A18" t="s">
        <v>361</v>
      </c>
      <c r="B18">
        <v>11485.94</v>
      </c>
      <c r="C18" s="1"/>
      <c r="D18" s="1"/>
    </row>
    <row r="19" spans="1:16">
      <c r="A19" t="s">
        <v>399</v>
      </c>
      <c r="B19">
        <v>11485.94</v>
      </c>
      <c r="D19" s="1"/>
    </row>
    <row r="20" spans="1:16">
      <c r="A20" t="s">
        <v>362</v>
      </c>
      <c r="B20">
        <v>17838.66</v>
      </c>
      <c r="C20" s="1"/>
      <c r="D20" s="41"/>
    </row>
    <row r="21" spans="1:16">
      <c r="A21" t="s">
        <v>363</v>
      </c>
      <c r="B21">
        <v>6.7939999999999996</v>
      </c>
      <c r="C21" s="1">
        <v>42916</v>
      </c>
      <c r="D21" s="41">
        <v>5.7870370370370366E-5</v>
      </c>
    </row>
    <row r="22" spans="1:16">
      <c r="A22" t="s">
        <v>364</v>
      </c>
      <c r="B22">
        <v>931</v>
      </c>
      <c r="C22" s="39">
        <v>935</v>
      </c>
      <c r="D22" s="41">
        <v>940</v>
      </c>
      <c r="E22" t="s">
        <v>365</v>
      </c>
      <c r="F22" t="s">
        <v>366</v>
      </c>
      <c r="G22" t="s">
        <v>367</v>
      </c>
      <c r="H22" t="s">
        <v>368</v>
      </c>
      <c r="I22" t="s">
        <v>369</v>
      </c>
      <c r="J22" t="s">
        <v>370</v>
      </c>
      <c r="K22" t="s">
        <v>371</v>
      </c>
      <c r="L22" t="s">
        <v>372</v>
      </c>
      <c r="M22" t="s">
        <v>373</v>
      </c>
      <c r="N22" t="s">
        <v>374</v>
      </c>
      <c r="O22" t="s">
        <v>375</v>
      </c>
      <c r="P22" t="s">
        <v>376</v>
      </c>
    </row>
    <row r="23" spans="1:16">
      <c r="A23" s="39">
        <v>3174.9811</v>
      </c>
      <c r="B23" s="39">
        <v>3178.4344000000001</v>
      </c>
      <c r="C23" s="39">
        <v>3178.7474000000002</v>
      </c>
      <c r="D23" s="1">
        <v>3174.9405000000002</v>
      </c>
      <c r="E23">
        <v>3183.2055</v>
      </c>
      <c r="F23">
        <v>3187.5621999999998</v>
      </c>
      <c r="G23">
        <v>3174.3901000000001</v>
      </c>
      <c r="H23">
        <v>953</v>
      </c>
      <c r="I23">
        <v>942</v>
      </c>
      <c r="J23">
        <v>3183.2055</v>
      </c>
      <c r="K23">
        <v>3180.4969000000001</v>
      </c>
      <c r="L23">
        <v>3187.8987000000002</v>
      </c>
      <c r="M23">
        <v>3188.6649000000002</v>
      </c>
      <c r="N23">
        <v>3176.8270000000002</v>
      </c>
      <c r="O23">
        <v>1434</v>
      </c>
      <c r="P23">
        <v>1346</v>
      </c>
    </row>
    <row r="24" spans="1:16">
      <c r="C24" s="39"/>
      <c r="D24" s="1"/>
    </row>
    <row r="25" spans="1:16">
      <c r="D25" s="1"/>
    </row>
    <row r="26" spans="1:16">
      <c r="D26" s="25"/>
    </row>
    <row r="27" spans="1:16">
      <c r="D27" s="1"/>
    </row>
    <row r="28" spans="1:16">
      <c r="C28" s="1"/>
      <c r="D28" s="94"/>
    </row>
    <row r="29" spans="1:16">
      <c r="C29" s="1"/>
      <c r="D29" s="1"/>
    </row>
    <row r="30" spans="1:16">
      <c r="D30" s="1"/>
    </row>
    <row r="31" spans="1:16">
      <c r="D31" s="1"/>
    </row>
    <row r="32" spans="1:16">
      <c r="C32" s="1"/>
      <c r="D32" s="1"/>
    </row>
    <row r="33" spans="3:4">
      <c r="D33" s="1"/>
    </row>
    <row r="34" spans="3:4">
      <c r="D34" s="1"/>
    </row>
    <row r="35" spans="3:4">
      <c r="D35" s="1"/>
    </row>
    <row r="36" spans="3:4">
      <c r="D36" s="1"/>
    </row>
    <row r="37" spans="3:4">
      <c r="C37" s="1"/>
      <c r="D37" s="1"/>
    </row>
    <row r="38" spans="3:4">
      <c r="C38" s="1"/>
      <c r="D38" s="94"/>
    </row>
    <row r="39" spans="3:4">
      <c r="D39" s="1"/>
    </row>
    <row r="40" spans="3:4">
      <c r="D40" s="1"/>
    </row>
    <row r="41" spans="3:4">
      <c r="D41" s="1"/>
    </row>
    <row r="42" spans="3:4">
      <c r="D42" s="1"/>
    </row>
    <row r="43" spans="3:4">
      <c r="C43" s="1"/>
      <c r="D43" s="1"/>
    </row>
    <row r="44" spans="3:4">
      <c r="D44" s="1"/>
    </row>
    <row r="45" spans="3:4">
      <c r="D45" s="1"/>
    </row>
    <row r="46" spans="3:4">
      <c r="D46" s="25"/>
    </row>
    <row r="47" spans="3:4">
      <c r="D47" s="25"/>
    </row>
    <row r="48" spans="3:4">
      <c r="D48" s="25"/>
    </row>
    <row r="49" spans="3:4">
      <c r="D49" s="25"/>
    </row>
    <row r="50" spans="3:4">
      <c r="D50" s="25"/>
    </row>
    <row r="51" spans="3:4">
      <c r="D51" s="1"/>
    </row>
    <row r="52" spans="3:4">
      <c r="D52" s="1"/>
    </row>
    <row r="53" spans="3:4">
      <c r="D53" s="1"/>
    </row>
    <row r="54" spans="3:4">
      <c r="C54" s="1"/>
      <c r="D54" s="1"/>
    </row>
    <row r="55" spans="3:4">
      <c r="D55" s="1"/>
    </row>
    <row r="56" spans="3:4"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C62" s="1"/>
      <c r="D62" s="94"/>
    </row>
    <row r="63" spans="3:4">
      <c r="C63" s="1"/>
      <c r="D63" s="94"/>
    </row>
    <row r="64" spans="3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25"/>
    </row>
    <row r="84" spans="4:4">
      <c r="D84" s="25"/>
    </row>
    <row r="85" spans="4:4">
      <c r="D85" s="25"/>
    </row>
    <row r="86" spans="4:4">
      <c r="D86" s="25"/>
    </row>
    <row r="87" spans="4:4">
      <c r="D87" s="25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9" spans="3:4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26"/>
  <sheetViews>
    <sheetView zoomScale="115" zoomScaleNormal="115" workbookViewId="0">
      <pane xSplit="1" ySplit="1" topLeftCell="B197" activePane="bottomRight" state="frozen"/>
      <selection pane="topRight" activeCell="B1" sqref="B1"/>
      <selection pane="bottomLeft" activeCell="A2" sqref="A2"/>
      <selection pane="bottomRight" activeCell="C210" sqref="C210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2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378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387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394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25" si="15">LN(C220/C219)</f>
        <v>5.8655326653686257E-5</v>
      </c>
      <c r="H220">
        <v>6.8302350000000001</v>
      </c>
      <c r="I220" s="25">
        <f t="shared" ref="I220:I225" si="16">LN(H220/H219)</f>
        <v>1.1859738836099735E-4</v>
      </c>
      <c r="J220">
        <v>6.8346549999999997</v>
      </c>
      <c r="K220" s="25">
        <f t="shared" ref="K220:K225" si="17">LN(J220/J219)</f>
        <v>6.0958008553464011E-4</v>
      </c>
      <c r="L220">
        <v>6.837275</v>
      </c>
      <c r="M220" s="25">
        <f t="shared" ref="M220:M225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398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400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3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3">
      <c r="A226" s="1">
        <v>42916</v>
      </c>
      <c r="B22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0"/>
  <sheetViews>
    <sheetView tabSelected="1" zoomScale="115" zoomScaleNormal="115" workbookViewId="0">
      <pane xSplit="2" ySplit="6" topLeftCell="C259" activePane="bottomRight" state="frozen"/>
      <selection pane="topRight" activeCell="C1" sqref="C1"/>
      <selection pane="bottomLeft" activeCell="A3" sqref="A3"/>
      <selection pane="bottomRight" activeCell="H279" sqref="H279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79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>
      <c r="A238" s="1">
        <v>42853</v>
      </c>
      <c r="B238" s="41">
        <f t="shared" ref="B238:B28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>
      <c r="A280" s="1">
        <v>42916</v>
      </c>
      <c r="B280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3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D360" sqref="D360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2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379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381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388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395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3">B358/B357-1</f>
        <v>9.8522167487684609E-3</v>
      </c>
      <c r="D358" s="26">
        <f t="shared" ref="D358" si="274">+F357*(1+L358)</f>
        <v>12.621461556668795</v>
      </c>
      <c r="E358" s="26">
        <f>D358*(1-VLOOKUP(A358,FX!A:K,9,0))</f>
        <v>12.602571876429208</v>
      </c>
      <c r="F358">
        <v>12.61</v>
      </c>
      <c r="G358" s="25">
        <f>+B358/D358-1</f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5">WEEKDAY(A358,2)</f>
        <v>5</v>
      </c>
    </row>
    <row r="359" spans="1:14">
      <c r="A359" s="1">
        <v>42912</v>
      </c>
      <c r="B359">
        <v>12.42</v>
      </c>
      <c r="C359" s="25">
        <f t="shared" ref="C359" si="276">B359/B358-1</f>
        <v>9.7560975609756184E-3</v>
      </c>
      <c r="D359" s="26">
        <f t="shared" ref="D359" si="277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>+B359/D359-1</f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8">WEEKDAY(A359,2)</f>
        <v>1</v>
      </c>
    </row>
    <row r="360" spans="1:14">
      <c r="A360" s="1">
        <v>42913</v>
      </c>
      <c r="B360">
        <v>12.44</v>
      </c>
      <c r="C360" s="25">
        <f t="shared" ref="C360" si="279">B360/B359-1</f>
        <v>1.6103059581320522E-3</v>
      </c>
      <c r="D360" s="26">
        <f t="shared" ref="D360" si="280">+F359*(1+L360)</f>
        <v>12.755810852000138</v>
      </c>
      <c r="E360" s="26">
        <f>D360*(1-VLOOKUP(A360,FX!A:K,9,0))</f>
        <v>12.758921452974461</v>
      </c>
      <c r="F360">
        <v>12.743</v>
      </c>
      <c r="G360" s="25">
        <f>+B360/D360-1</f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1">WEEKDAY(A360,2)</f>
        <v>2</v>
      </c>
    </row>
    <row r="361" spans="1:14">
      <c r="A361" s="1">
        <v>42914</v>
      </c>
      <c r="B361">
        <v>12.4</v>
      </c>
      <c r="C361" s="25">
        <f t="shared" ref="C361" si="282">B361/B360-1</f>
        <v>-3.215434083601254E-3</v>
      </c>
      <c r="D361" s="26">
        <f t="shared" ref="D361" si="283">+F360*(1+L361)</f>
        <v>12.651380297511631</v>
      </c>
      <c r="E361" s="26">
        <f>D361*(1-VLOOKUP(A361,FX!A:K,9,0))</f>
        <v>12.737791897562222</v>
      </c>
      <c r="F361">
        <v>12.7</v>
      </c>
      <c r="G361" s="25">
        <f>+B361/D361-1</f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4">WEEKDAY(A361,2)</f>
        <v>3</v>
      </c>
    </row>
    <row r="362" spans="1:14">
      <c r="A362" s="1">
        <v>42915</v>
      </c>
      <c r="B362">
        <v>12.52</v>
      </c>
      <c r="C362" s="25">
        <f t="shared" ref="C362" si="285">B362/B361-1</f>
        <v>9.6774193548385679E-3</v>
      </c>
      <c r="D362" s="26">
        <f t="shared" ref="D362" si="286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>+B362/D362-1</f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7">+K362/J362-1</f>
        <v>6.652918528698093E-3</v>
      </c>
      <c r="M362">
        <f t="shared" ref="M362" si="288">WEEKDAY(A362,2)</f>
        <v>4</v>
      </c>
    </row>
    <row r="363" spans="1:14">
      <c r="A363" s="1">
        <v>42916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2"/>
  <sheetViews>
    <sheetView zoomScale="115" zoomScaleNormal="115" workbookViewId="0">
      <pane xSplit="1" ySplit="2" topLeftCell="B334" activePane="bottomRight" state="frozen"/>
      <selection pane="topRight" activeCell="B1" sqref="B1"/>
      <selection pane="bottomLeft" activeCell="A3" sqref="A3"/>
      <selection pane="bottomRight" activeCell="B358" sqref="B35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377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1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>
      <c r="A362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3"/>
  <sheetViews>
    <sheetView zoomScale="115" zoomScaleNormal="115" workbookViewId="0">
      <pane xSplit="1" ySplit="2" topLeftCell="B333" activePane="bottomRight" state="frozen"/>
      <selection pane="topRight" activeCell="B1" sqref="B1"/>
      <selection pane="bottomLeft" activeCell="A3" sqref="A3"/>
      <selection pane="bottomRight" activeCell="B359" sqref="B35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>
      <c r="J1" t="s">
        <v>217</v>
      </c>
    </row>
    <row r="2" spans="1:13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9.75</v>
      </c>
      <c r="M57">
        <f t="shared" si="5"/>
        <v>4</v>
      </c>
    </row>
    <row r="58" spans="1:13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380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385</v>
      </c>
    </row>
    <row r="351" spans="1:14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390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389</v>
      </c>
    </row>
    <row r="353" spans="1:13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2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>
      <c r="A363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3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B359" sqref="B35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39</v>
      </c>
      <c r="M57">
        <f t="shared" si="5"/>
        <v>4</v>
      </c>
    </row>
    <row r="58" spans="1:13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382</v>
      </c>
    </row>
    <row r="346" spans="1:14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2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>
      <c r="A363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69"/>
  <sheetViews>
    <sheetView zoomScale="115" zoomScaleNormal="115" workbookViewId="0">
      <pane xSplit="1" ySplit="2" topLeftCell="B341" activePane="bottomRight" state="frozen"/>
      <selection pane="topRight" activeCell="B1" sqref="B1"/>
      <selection pane="bottomLeft" activeCell="A3" sqref="A3"/>
      <selection pane="bottomRight" activeCell="D365" sqref="D365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67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0">B364/B363-1</f>
        <v>7.5490689481627626E-4</v>
      </c>
      <c r="D364" s="38">
        <f t="shared" ref="D364" si="281">+F363*(1+L364)</f>
        <v>39.819987209377075</v>
      </c>
      <c r="F364">
        <v>39.82</v>
      </c>
      <c r="G364" s="42">
        <f>+B364/D364-1</f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2">+K364/J364-1</f>
        <v>1.7606845126307835E-3</v>
      </c>
      <c r="M364">
        <f t="shared" ref="M364" si="283">WEEKDAY(A364,2)</f>
        <v>5</v>
      </c>
    </row>
    <row r="365" spans="1:13">
      <c r="A365" s="1">
        <v>42912</v>
      </c>
      <c r="B365">
        <v>40.229999999999997</v>
      </c>
      <c r="C365" s="25">
        <f t="shared" ref="C365" si="284">B365/B364-1</f>
        <v>1.1566507417651417E-2</v>
      </c>
      <c r="D365" s="38">
        <f t="shared" ref="D365" si="285">+F364*(1+L365)</f>
        <v>40.187309671361085</v>
      </c>
      <c r="F365">
        <v>40.21</v>
      </c>
      <c r="G365" s="42">
        <f>+B365/D365-1</f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6">+K365/J365-1</f>
        <v>9.2242509131361672E-3</v>
      </c>
      <c r="M365">
        <f t="shared" ref="M365" si="287">WEEKDAY(A365,2)</f>
        <v>1</v>
      </c>
    </row>
    <row r="366" spans="1:13">
      <c r="A366" s="1">
        <v>42913</v>
      </c>
      <c r="B366">
        <v>39.83</v>
      </c>
      <c r="C366" s="25">
        <f t="shared" ref="C366" si="288">B366/B365-1</f>
        <v>-9.9428287347750333E-3</v>
      </c>
      <c r="D366" s="38">
        <f t="shared" ref="D366" si="289">+F365*(1+L366)</f>
        <v>40.145289184188371</v>
      </c>
      <c r="F366">
        <v>40.15</v>
      </c>
      <c r="G366" s="42">
        <f>+B366/D366-1</f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0">+K366/J366-1</f>
        <v>-1.6093214576381465E-3</v>
      </c>
      <c r="M366">
        <f t="shared" ref="M366" si="291">WEEKDAY(A366,2)</f>
        <v>2</v>
      </c>
    </row>
    <row r="367" spans="1:13">
      <c r="A367" s="1">
        <v>42914</v>
      </c>
      <c r="B367">
        <v>40.03</v>
      </c>
      <c r="C367" s="25">
        <f t="shared" ref="C367" si="292">B367/B366-1</f>
        <v>5.0213406979664477E-3</v>
      </c>
      <c r="D367" s="38">
        <f t="shared" ref="D367" si="293">+F366*(1+L367)</f>
        <v>39.779164636640154</v>
      </c>
      <c r="F367">
        <v>39.79</v>
      </c>
      <c r="G367" s="42">
        <f>+B367/D367-1</f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4">+K367/J367-1</f>
        <v>-9.236248153420723E-3</v>
      </c>
      <c r="M367">
        <f t="shared" ref="M367" si="295">WEEKDAY(A367,2)</f>
        <v>3</v>
      </c>
    </row>
    <row r="368" spans="1:13">
      <c r="A368" s="1">
        <v>42915</v>
      </c>
      <c r="B368">
        <v>39.619999999999997</v>
      </c>
      <c r="C368" s="25">
        <f t="shared" ref="C368" si="296">B368/B367-1</f>
        <v>-1.0242318261304062E-2</v>
      </c>
      <c r="D368" s="38">
        <f t="shared" ref="D368" si="297">+F367*(1+L368)</f>
        <v>40.02787408537359</v>
      </c>
      <c r="G368" s="42">
        <f>+B368/D368-1</f>
        <v>-1.0189751384339196E-2</v>
      </c>
      <c r="J368">
        <v>17732.650000000001</v>
      </c>
      <c r="K368">
        <v>17838.66</v>
      </c>
      <c r="L368" s="25">
        <f t="shared" ref="L368" si="298">+K368/J368-1</f>
        <v>5.9782378832267113E-3</v>
      </c>
      <c r="M368">
        <f t="shared" ref="M368" si="299">WEEKDAY(A368,2)</f>
        <v>4</v>
      </c>
    </row>
    <row r="369" spans="1:1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69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B365" sqref="B365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6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69"/>
  <sheetViews>
    <sheetView zoomScale="115" zoomScaleNormal="115" workbookViewId="0">
      <pane xSplit="1" ySplit="2" topLeftCell="B344" activePane="bottomRight" state="frozen"/>
      <selection pane="topRight" activeCell="B1" sqref="B1"/>
      <selection pane="bottomLeft" activeCell="A3" sqref="A3"/>
      <selection pane="bottomRight" activeCell="E365" sqref="E365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67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383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384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386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396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397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0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C367" sqref="C367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68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3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3">
      <c r="A370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2017-06-29T21:46:42Z</dcterms:modified>
</cp:coreProperties>
</file>