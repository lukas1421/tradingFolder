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10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M226" i="25" l="1"/>
  <c r="K226" i="25"/>
  <c r="I226" i="25"/>
  <c r="L370" i="10"/>
  <c r="M370" i="10"/>
  <c r="I370" i="10"/>
  <c r="C370" i="10"/>
  <c r="L369" i="9"/>
  <c r="M369" i="9"/>
  <c r="I369" i="9"/>
  <c r="C369" i="9"/>
  <c r="L369" i="11"/>
  <c r="M369" i="11"/>
  <c r="I369" i="11"/>
  <c r="C369" i="11"/>
  <c r="L369" i="12"/>
  <c r="M369" i="12"/>
  <c r="I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27" i="25" l="1"/>
  <c r="B228" i="25"/>
  <c r="B229" i="25"/>
  <c r="B230" i="25"/>
  <c r="B231" i="25"/>
  <c r="B281" i="20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G363" i="8"/>
  <c r="H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H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R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H361" i="8" s="1"/>
  <c r="E361" i="8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H360" i="8" s="1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H356" i="8"/>
  <c r="I356" i="8"/>
  <c r="I357" i="8"/>
  <c r="D356" i="8"/>
  <c r="E356" i="8" s="1"/>
  <c r="D357" i="8"/>
  <c r="E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A1" i="27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H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H355" i="8"/>
  <c r="E355" i="8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8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H353" i="8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H352" i="8" s="1"/>
  <c r="E352" i="8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H351" i="8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H350" i="8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G349" i="8"/>
  <c r="H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H348" i="8"/>
  <c r="G348" i="8"/>
  <c r="E348" i="8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H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H346" i="8" s="1"/>
  <c r="E346" i="8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H345" i="8"/>
  <c r="E345" i="8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H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H342" i="8" s="1"/>
  <c r="E342" i="8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G341" i="8"/>
  <c r="H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G339" i="8"/>
  <c r="H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G337" i="8"/>
  <c r="H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E343" i="10"/>
  <c r="H343" i="10"/>
  <c r="G343" i="10"/>
  <c r="E342" i="9"/>
  <c r="G342" i="9"/>
  <c r="G342" i="11"/>
  <c r="H342" i="11"/>
  <c r="G336" i="8"/>
  <c r="H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G333" i="8"/>
  <c r="H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H330" i="8"/>
  <c r="G330" i="8"/>
  <c r="E330" i="8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H329" i="8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H327" i="8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H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G324" i="8"/>
  <c r="H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G323" i="8"/>
  <c r="H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G322" i="8"/>
  <c r="H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H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H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G318" i="8"/>
  <c r="H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G317" i="8"/>
  <c r="H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H316" i="8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22" i="10"/>
  <c r="H321" i="9"/>
  <c r="E321" i="11"/>
  <c r="G321" i="11"/>
  <c r="H321" i="11"/>
  <c r="H315" i="8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H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H312" i="8" s="1"/>
  <c r="E312" i="8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H310" i="8" s="1"/>
  <c r="E310" i="8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H309" i="8" s="1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H307" i="8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H304" i="8" s="1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10" i="10"/>
  <c r="G310" i="10"/>
  <c r="E310" i="10"/>
  <c r="G309" i="9"/>
  <c r="H309" i="9"/>
  <c r="G303" i="8"/>
  <c r="H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H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G301" i="8"/>
  <c r="H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G300" i="8"/>
  <c r="H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H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G297" i="8"/>
  <c r="H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H296" i="8" s="1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H295" i="8" s="1"/>
  <c r="E295" i="8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H292" i="8" s="1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H291" i="8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H290" i="8"/>
  <c r="G290" i="8"/>
  <c r="E290" i="8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G289" i="8"/>
  <c r="H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T181" i="20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T176" i="20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S166" i="20"/>
  <c r="T167" i="20" s="1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H166" i="20"/>
  <c r="C166" i="20"/>
  <c r="O166" i="20"/>
  <c r="G247" i="9" l="1"/>
  <c r="G242" i="8"/>
  <c r="G242" i="5"/>
  <c r="G247" i="11"/>
  <c r="G248" i="10"/>
  <c r="G242" i="7"/>
  <c r="G241" i="6"/>
  <c r="U166" i="20"/>
  <c r="AA166" i="20"/>
  <c r="P166" i="20"/>
  <c r="AM166" i="20" s="1"/>
  <c r="I166" i="20"/>
  <c r="V166" i="20" l="1"/>
  <c r="W166" i="20" s="1"/>
  <c r="AP166" i="20"/>
  <c r="AL166" i="20"/>
  <c r="AO166" i="20"/>
  <c r="AD166" i="20"/>
  <c r="M247" i="10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AE166" i="20"/>
  <c r="BG170" i="20"/>
  <c r="BH170" i="20"/>
  <c r="BE170" i="20"/>
  <c r="BF170" i="20"/>
  <c r="BI170" i="20"/>
  <c r="G246" i="11"/>
  <c r="G241" i="7"/>
  <c r="G240" i="6"/>
  <c r="Z166" i="20"/>
  <c r="BG167" i="20"/>
  <c r="BI167" i="20"/>
  <c r="BH167" i="20"/>
  <c r="BG166" i="20"/>
  <c r="BH166" i="20"/>
  <c r="BE166" i="20"/>
  <c r="BI166" i="20"/>
  <c r="BF166" i="20"/>
  <c r="G247" i="10"/>
  <c r="M242" i="5"/>
  <c r="M241" i="5"/>
  <c r="BJ169" i="20" l="1"/>
  <c r="BJ170" i="20"/>
  <c r="BJ168" i="20"/>
  <c r="BJ166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BA166" i="20" s="1"/>
  <c r="BD166" i="20"/>
  <c r="BB166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K166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J166" i="20" l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L166" i="20" l="1"/>
  <c r="BI92" i="20"/>
  <c r="BF92" i="20"/>
  <c r="BG92" i="20"/>
  <c r="BH92" i="20"/>
  <c r="V89" i="20"/>
  <c r="AE89" i="20" s="1"/>
  <c r="U89" i="20"/>
  <c r="AD89" i="20" s="1"/>
  <c r="Q166" i="20" l="1"/>
  <c r="X166" i="20" s="1"/>
  <c r="BJ92" i="20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45" i="8"/>
  <c r="H258" i="9"/>
  <c r="H247" i="6"/>
  <c r="E266" i="7"/>
  <c r="H267" i="9"/>
  <c r="E258" i="9"/>
  <c r="H252" i="11"/>
  <c r="H265" i="5"/>
  <c r="E253" i="11"/>
  <c r="E238" i="6"/>
  <c r="H249" i="9"/>
  <c r="E241" i="8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H257" i="8"/>
  <c r="H246" i="8"/>
  <c r="E263" i="5"/>
  <c r="E264" i="11"/>
  <c r="H253" i="8"/>
  <c r="E251" i="11"/>
  <c r="E264" i="8"/>
  <c r="H258" i="7"/>
  <c r="H252" i="6"/>
  <c r="E276" i="11"/>
  <c r="E269" i="9"/>
  <c r="H277" i="7"/>
  <c r="E269" i="10"/>
  <c r="H261" i="11"/>
  <c r="H255" i="11"/>
  <c r="H286" i="8"/>
  <c r="H263" i="10"/>
  <c r="E282" i="9"/>
  <c r="H270" i="9"/>
  <c r="H262" i="9"/>
  <c r="H251" i="5"/>
  <c r="E283" i="8"/>
  <c r="H257" i="5"/>
  <c r="E254" i="9"/>
  <c r="E250" i="9"/>
  <c r="H244" i="10"/>
  <c r="E246" i="10"/>
  <c r="H245" i="5"/>
  <c r="E248" i="10"/>
  <c r="E293" i="9"/>
  <c r="H287" i="8"/>
  <c r="H278" i="5"/>
  <c r="H269" i="5"/>
  <c r="H287" i="5"/>
  <c r="E276" i="6"/>
  <c r="E279" i="11"/>
  <c r="H274" i="9"/>
  <c r="H285" i="6"/>
  <c r="E280" i="7"/>
  <c r="E273" i="7"/>
  <c r="E268" i="8"/>
  <c r="H275" i="6"/>
  <c r="E237" i="6"/>
  <c r="E249" i="10"/>
  <c r="E245" i="9"/>
  <c r="E244" i="6"/>
  <c r="E284" i="8"/>
  <c r="E279" i="7"/>
  <c r="H274" i="8"/>
  <c r="E276" i="9"/>
  <c r="H294" i="10"/>
  <c r="E286" i="10"/>
  <c r="H241" i="7"/>
  <c r="E244" i="10"/>
  <c r="E243" i="8"/>
  <c r="E286" i="5"/>
  <c r="H292" i="11"/>
  <c r="E279" i="6"/>
  <c r="E277" i="8"/>
  <c r="H280" i="10"/>
  <c r="E275" i="10"/>
  <c r="E286" i="7"/>
  <c r="E283" i="11"/>
  <c r="H272" i="5"/>
  <c r="H268" i="5"/>
  <c r="H293" i="10"/>
  <c r="H282" i="5"/>
  <c r="E283" i="9"/>
  <c r="E280" i="11"/>
  <c r="H240" i="8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78" i="8"/>
  <c r="H263" i="6"/>
  <c r="E259" i="8"/>
  <c r="H288" i="10"/>
  <c r="H291" i="11"/>
  <c r="E273" i="11"/>
  <c r="E261" i="10"/>
  <c r="H251" i="7"/>
  <c r="E245" i="6"/>
  <c r="H273" i="10"/>
  <c r="E261" i="8"/>
  <c r="E262" i="11"/>
  <c r="E248" i="8"/>
  <c r="H269" i="6"/>
  <c r="E262" i="7"/>
  <c r="H243" i="11"/>
  <c r="H241" i="8"/>
  <c r="E238" i="8"/>
  <c r="H249" i="10"/>
  <c r="H286" i="7"/>
  <c r="H286" i="5"/>
  <c r="E272" i="7"/>
  <c r="E274" i="11"/>
  <c r="E285" i="8"/>
  <c r="H287" i="9"/>
  <c r="H282" i="9"/>
  <c r="H278" i="11"/>
  <c r="E274" i="10"/>
  <c r="E285" i="7"/>
  <c r="E282" i="10"/>
  <c r="H271" i="8"/>
  <c r="E267" i="8"/>
  <c r="E272" i="5"/>
  <c r="H239" i="8"/>
  <c r="E243" i="6"/>
  <c r="E241" i="5"/>
  <c r="E285" i="9"/>
  <c r="H293" i="11"/>
  <c r="H285" i="10"/>
  <c r="H279" i="9"/>
  <c r="H268" i="8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67" i="8"/>
  <c r="H292" i="10"/>
  <c r="E288" i="9"/>
  <c r="H276" i="8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4" i="8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49" i="8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58" i="8"/>
  <c r="E258" i="10"/>
  <c r="H249" i="7"/>
  <c r="E284" i="10"/>
  <c r="E263" i="6"/>
  <c r="H260" i="10"/>
  <c r="E251" i="5"/>
  <c r="E246" i="8"/>
  <c r="E265" i="7"/>
  <c r="H260" i="5"/>
  <c r="H256" i="8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E244" i="8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66" i="7"/>
  <c r="H267" i="7"/>
  <c r="E239" i="6"/>
  <c r="E250" i="11"/>
  <c r="H242" i="5"/>
  <c r="E293" i="10"/>
  <c r="E285" i="6"/>
  <c r="H281" i="8"/>
  <c r="E282" i="11"/>
  <c r="H272" i="8"/>
  <c r="H273" i="11"/>
  <c r="E291" i="11"/>
  <c r="H238" i="7"/>
  <c r="H243" i="5"/>
  <c r="H246" i="10"/>
  <c r="E284" i="7"/>
  <c r="E291" i="10"/>
  <c r="H288" i="9"/>
  <c r="H275" i="5"/>
  <c r="H270" i="8"/>
  <c r="H290" i="11"/>
  <c r="H284" i="11"/>
  <c r="H281" i="11"/>
  <c r="E269" i="8"/>
  <c r="H279" i="5"/>
  <c r="H282" i="6"/>
  <c r="E277" i="10"/>
  <c r="E265" i="8"/>
  <c r="H272" i="9"/>
  <c r="E239" i="8"/>
  <c r="H244" i="8"/>
  <c r="H285" i="7"/>
  <c r="E281" i="6"/>
  <c r="E292" i="10"/>
  <c r="H282" i="11"/>
  <c r="E277" i="11"/>
  <c r="E267" i="5"/>
  <c r="H291" i="9"/>
  <c r="E282" i="7"/>
  <c r="H276" i="7"/>
  <c r="H271" i="7"/>
  <c r="E266" i="8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50" i="8"/>
  <c r="H245" i="7"/>
  <c r="H264" i="5"/>
  <c r="H260" i="9"/>
  <c r="H251" i="8"/>
  <c r="E252" i="10"/>
  <c r="H272" i="11"/>
  <c r="H261" i="5"/>
  <c r="E252" i="6"/>
  <c r="E282" i="8"/>
  <c r="H284" i="8"/>
  <c r="H265" i="7"/>
  <c r="H267" i="10"/>
  <c r="H254" i="6"/>
  <c r="E251" i="7"/>
  <c r="E271" i="9"/>
  <c r="H262" i="11"/>
  <c r="H252" i="8"/>
  <c r="E252" i="11"/>
  <c r="H275" i="11"/>
  <c r="H261" i="6"/>
  <c r="H257" i="7"/>
  <c r="E253" i="6"/>
  <c r="E249" i="8"/>
  <c r="H274" i="5"/>
  <c r="H269" i="11"/>
  <c r="E258" i="8"/>
  <c r="H255" i="8"/>
  <c r="H250" i="7"/>
  <c r="E287" i="8"/>
  <c r="H275" i="9"/>
  <c r="H267" i="11"/>
  <c r="H256" i="5"/>
  <c r="H257" i="10"/>
  <c r="H251" i="9"/>
  <c r="E267" i="7"/>
  <c r="E267" i="9"/>
  <c r="E257" i="7"/>
  <c r="E253" i="5"/>
  <c r="H248" i="8"/>
  <c r="H279" i="10"/>
  <c r="E263" i="8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63" i="8"/>
  <c r="H259" i="5"/>
  <c r="E255" i="7"/>
  <c r="H250" i="5"/>
  <c r="H250" i="11"/>
  <c r="E271" i="11"/>
  <c r="E266" i="11"/>
  <c r="E256" i="7"/>
  <c r="E252" i="8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E289" i="11"/>
  <c r="H280" i="11"/>
  <c r="E272" i="10"/>
  <c r="H272" i="10"/>
  <c r="E240" i="6"/>
  <c r="H244" i="9"/>
  <c r="H285" i="8"/>
  <c r="H278" i="7"/>
  <c r="H283" i="6"/>
  <c r="E289" i="10"/>
  <c r="E275" i="5"/>
  <c r="E270" i="6"/>
  <c r="H266" i="8"/>
  <c r="E290" i="11"/>
  <c r="E245" i="10"/>
  <c r="E250" i="10"/>
  <c r="H241" i="5"/>
  <c r="E287" i="7"/>
  <c r="H286" i="10"/>
  <c r="E278" i="6"/>
  <c r="E278" i="8"/>
  <c r="H274" i="7"/>
  <c r="E275" i="9"/>
  <c r="E293" i="11"/>
  <c r="H279" i="8"/>
  <c r="H284" i="9"/>
  <c r="E272" i="6"/>
  <c r="E276" i="10"/>
  <c r="E287" i="5"/>
  <c r="E286" i="9"/>
  <c r="H283" i="8"/>
  <c r="E279" i="9"/>
  <c r="E269" i="5"/>
  <c r="H289" i="11"/>
  <c r="H238" i="8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E270" i="8"/>
  <c r="H265" i="8"/>
  <c r="H271" i="11"/>
  <c r="H266" i="11"/>
  <c r="E262" i="9"/>
  <c r="E273" i="9"/>
  <c r="E271" i="8"/>
  <c r="E262" i="8"/>
  <c r="H251" i="6"/>
  <c r="H247" i="8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H277" i="8"/>
  <c r="E271" i="10"/>
  <c r="E265" i="11"/>
  <c r="E260" i="10"/>
  <c r="E251" i="8"/>
  <c r="E246" i="5"/>
  <c r="E264" i="6"/>
  <c r="H261" i="7"/>
  <c r="E255" i="6"/>
  <c r="H252" i="7"/>
  <c r="H253" i="10"/>
  <c r="H262" i="8"/>
  <c r="E257" i="8"/>
  <c r="H258" i="10"/>
  <c r="E282" i="6"/>
  <c r="E279" i="5"/>
  <c r="H270" i="11"/>
  <c r="E260" i="7"/>
  <c r="E254" i="6"/>
  <c r="E250" i="8"/>
  <c r="E245" i="8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11"/>
  <c r="E247" i="6"/>
  <c r="H268" i="9"/>
  <c r="E254" i="8"/>
  <c r="H248" i="6"/>
  <c r="E276" i="8"/>
  <c r="E262" i="6"/>
  <c r="E265" i="9"/>
  <c r="E255" i="8"/>
  <c r="H250" i="6"/>
  <c r="H245" i="6"/>
  <c r="H264" i="6"/>
  <c r="E260" i="5"/>
  <c r="H260" i="11"/>
  <c r="E251" i="6"/>
  <c r="H243" i="8"/>
  <c r="H238" i="6"/>
  <c r="H247" i="11"/>
  <c r="H242" i="8"/>
  <c r="E244" i="7"/>
  <c r="E242" i="8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H273" i="8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9" i="8"/>
  <c r="H258" i="11"/>
  <c r="E280" i="9"/>
  <c r="H265" i="6"/>
  <c r="E266" i="10"/>
  <c r="H259" i="10"/>
  <c r="E275" i="7"/>
  <c r="H266" i="10"/>
  <c r="H254" i="8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H282" i="8"/>
  <c r="E287" i="11"/>
  <c r="H280" i="5"/>
  <c r="H286" i="11"/>
  <c r="E273" i="8"/>
  <c r="H287" i="10"/>
  <c r="E277" i="5"/>
  <c r="E289" i="9"/>
  <c r="H286" i="9"/>
  <c r="E280" i="8"/>
  <c r="H278" i="9"/>
  <c r="H267" i="5"/>
  <c r="H279" i="6"/>
  <c r="E290" i="10"/>
  <c r="E273" i="5"/>
  <c r="H281" i="5"/>
  <c r="H284" i="10"/>
  <c r="H261" i="8"/>
  <c r="E252" i="5"/>
  <c r="E257" i="5"/>
  <c r="E288" i="10"/>
  <c r="H287" i="11"/>
  <c r="E277" i="7"/>
  <c r="E281" i="8"/>
  <c r="H280" i="8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60" i="8"/>
  <c r="H273" i="7"/>
  <c r="E249" i="5"/>
  <c r="H267" i="6"/>
  <c r="E240" i="5"/>
  <c r="E243" i="5"/>
  <c r="E274" i="7"/>
  <c r="E269" i="7"/>
  <c r="E243" i="7"/>
  <c r="H277" i="6"/>
  <c r="E274" i="5"/>
  <c r="E256" i="5"/>
  <c r="E254" i="5"/>
  <c r="H275" i="8"/>
  <c r="E254" i="7"/>
  <c r="H269" i="8"/>
  <c r="H273" i="5"/>
  <c r="E259" i="10"/>
  <c r="H270" i="7"/>
  <c r="E264" i="10"/>
  <c r="E247" i="5"/>
  <c r="E248" i="5"/>
  <c r="E259" i="5"/>
  <c r="E245" i="5"/>
  <c r="E261" i="7"/>
  <c r="E259" i="9"/>
  <c r="E260" i="8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R166" i="20" l="1"/>
  <c r="Y166" i="20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E166" i="20" l="1"/>
  <c r="AI166" i="20" s="1"/>
  <c r="D166" i="20"/>
  <c r="AH166" i="20" s="1"/>
  <c r="M166" i="20"/>
  <c r="G166" i="20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K166" i="20" l="1"/>
  <c r="AT166" i="20"/>
  <c r="AY166" i="20"/>
  <c r="F166" i="20"/>
  <c r="AJ166" i="20" s="1"/>
  <c r="AN166" i="20"/>
  <c r="AG167" i="20"/>
  <c r="AV166" i="20"/>
  <c r="AS166" i="20"/>
  <c r="BC167" i="20" s="1"/>
  <c r="AU166" i="20"/>
  <c r="AX166" i="20"/>
  <c r="AP167" i="20"/>
  <c r="AZ166" i="20"/>
  <c r="AW166" i="20"/>
  <c r="AA167" i="20"/>
  <c r="AG166" i="20"/>
  <c r="AF166" i="20"/>
  <c r="AB166" i="20"/>
  <c r="AC166" i="20"/>
  <c r="AR166" i="20"/>
  <c r="AQ166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<sst xmlns="http://schemas.openxmlformats.org/spreadsheetml/2006/main" count="496" uniqueCount="400">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</sst>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D15" sqref="D15"/>
    </sheetView>
  </sheetViews>
  <sheetFormatPr defaultRowHeight="13.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>
      <c r="A1" s="1">
        <f>D10</f>
        <v>42916</v>
      </c>
    </row>
    <row r="2" spans="1:14">
      <c r="A2" t="s">
        <v>390</v>
      </c>
      <c r="B2" s="39">
        <v>6.769215</v>
      </c>
      <c r="C2" s="1">
        <v>42916</v>
      </c>
      <c r="D2" s="41">
        <v>13</v>
      </c>
    </row>
    <row r="3" spans="1:14">
      <c r="A3" t="s">
        <v>391</v>
      </c>
      <c r="B3" s="39">
        <v>6.7837199999999998</v>
      </c>
      <c r="C3" s="1">
        <v>42916</v>
      </c>
      <c r="D3" s="41">
        <v>16</v>
      </c>
      <c r="J3" s="91"/>
      <c r="K3" s="92"/>
      <c r="L3" s="93"/>
    </row>
    <row r="4" spans="1:14">
      <c r="A4" t="s">
        <v>392</v>
      </c>
      <c r="B4" s="39">
        <v>6.7806449999999998</v>
      </c>
      <c r="C4" s="1">
        <v>42917</v>
      </c>
      <c r="D4" s="41">
        <v>4</v>
      </c>
      <c r="J4" s="68"/>
      <c r="K4" s="69"/>
      <c r="L4" s="70"/>
    </row>
    <row r="5" spans="1:14">
      <c r="A5" t="s">
        <v>348</v>
      </c>
      <c r="B5" s="39">
        <v>3666.7977000000001</v>
      </c>
      <c r="C5" s="41">
        <v>3668.8279000000002</v>
      </c>
      <c r="D5" s="25">
        <v>-5.9999999999999995E-4</v>
      </c>
      <c r="J5" s="71"/>
      <c r="K5" s="72"/>
      <c r="L5" s="73"/>
      <c r="M5" s="74"/>
    </row>
    <row r="6" spans="1:14">
      <c r="A6" t="s">
        <v>349</v>
      </c>
      <c r="B6" s="39">
        <v>3192.4268999999999</v>
      </c>
      <c r="C6" s="41">
        <v>3188.0625</v>
      </c>
      <c r="D6" s="25">
        <v>1.4E-3</v>
      </c>
      <c r="J6" s="75"/>
      <c r="K6" s="76"/>
      <c r="L6" s="77"/>
      <c r="M6" s="78"/>
    </row>
    <row r="7" spans="1:14">
      <c r="A7" t="s">
        <v>350</v>
      </c>
      <c r="B7">
        <v>1818.067</v>
      </c>
      <c r="C7" s="39">
        <v>1813.5519999999999</v>
      </c>
      <c r="D7" s="25">
        <v>2.5000000000000001E-3</v>
      </c>
      <c r="H7" s="96"/>
      <c r="J7" s="79"/>
      <c r="K7" s="80"/>
      <c r="L7" s="81"/>
      <c r="M7" s="82"/>
    </row>
    <row r="8" spans="1:14">
      <c r="A8" t="s">
        <v>351</v>
      </c>
      <c r="B8">
        <v>10529.609</v>
      </c>
      <c r="C8" s="39">
        <v>10511.86</v>
      </c>
      <c r="D8" s="25">
        <v>1.6999999999999999E-3</v>
      </c>
      <c r="J8" s="83"/>
      <c r="K8" s="84"/>
      <c r="L8" s="85"/>
      <c r="M8" s="86"/>
    </row>
    <row r="9" spans="1:14">
      <c r="A9" t="s">
        <v>352</v>
      </c>
      <c r="B9">
        <v>6138.1556</v>
      </c>
      <c r="C9" s="39">
        <v>6116.9931999999999</v>
      </c>
      <c r="D9" s="25">
        <v>3.5000000000000001E-3</v>
      </c>
      <c r="J9" s="87"/>
      <c r="K9" s="88"/>
      <c r="L9" s="89"/>
      <c r="M9" s="90"/>
    </row>
    <row r="10" spans="1:14">
      <c r="A10" t="s">
        <v>353</v>
      </c>
      <c r="B10">
        <v>12.54</v>
      </c>
      <c r="C10" s="39">
        <v>12.823</v>
      </c>
      <c r="D10" s="1">
        <v>42916</v>
      </c>
    </row>
    <row r="11" spans="1:14">
      <c r="A11" t="s">
        <v>354</v>
      </c>
      <c r="B11">
        <v>13.06</v>
      </c>
      <c r="C11" s="39">
        <v>13.085599999999999</v>
      </c>
      <c r="D11" s="1">
        <v>42916</v>
      </c>
    </row>
    <row r="12" spans="1:14">
      <c r="A12" t="s">
        <v>355</v>
      </c>
      <c r="B12">
        <v>7.71</v>
      </c>
      <c r="C12" s="1">
        <v>7.8120000000000003</v>
      </c>
      <c r="D12" s="1">
        <v>42916</v>
      </c>
      <c r="J12" s="53"/>
      <c r="K12" s="56"/>
      <c r="L12" s="59"/>
      <c r="M12" s="62"/>
      <c r="N12" s="65"/>
    </row>
    <row r="13" spans="1:14">
      <c r="A13" t="s">
        <v>356</v>
      </c>
      <c r="B13">
        <v>43.15</v>
      </c>
      <c r="C13" s="39">
        <v>43.389000000000003</v>
      </c>
      <c r="D13" s="1">
        <v>42916</v>
      </c>
      <c r="J13" s="54"/>
      <c r="K13" s="57"/>
      <c r="L13" s="60"/>
      <c r="M13" s="63"/>
      <c r="N13" s="66"/>
    </row>
    <row r="14" spans="1:14">
      <c r="A14" t="s">
        <v>357</v>
      </c>
      <c r="B14">
        <v>39.71</v>
      </c>
      <c r="C14" s="39">
        <v>39.79</v>
      </c>
      <c r="D14" s="1">
        <v>42916</v>
      </c>
      <c r="J14" s="55"/>
      <c r="K14" s="58"/>
      <c r="L14" s="61"/>
      <c r="M14" s="64"/>
      <c r="N14" s="67"/>
    </row>
    <row r="15" spans="1:14">
      <c r="A15" t="s">
        <v>358</v>
      </c>
      <c r="B15">
        <v>31.39</v>
      </c>
      <c r="C15">
        <v>31.345800000000001</v>
      </c>
      <c r="D15" s="1">
        <v>42916</v>
      </c>
    </row>
    <row r="16" spans="1:14">
      <c r="A16" t="s">
        <v>359</v>
      </c>
      <c r="B16">
        <v>27.26</v>
      </c>
      <c r="C16">
        <v>27.1982</v>
      </c>
      <c r="D16" s="1">
        <v>42916</v>
      </c>
    </row>
    <row r="17" spans="1:16">
      <c r="A17" t="s">
        <v>360</v>
      </c>
      <c r="B17">
        <v>33.06</v>
      </c>
      <c r="C17" s="1">
        <v>33.030999999999999</v>
      </c>
      <c r="D17" s="1">
        <v>42916</v>
      </c>
    </row>
    <row r="18" spans="1:16">
      <c r="A18" t="s">
        <v>361</v>
      </c>
      <c r="B18">
        <v>11460.25</v>
      </c>
      <c r="C18" s="1"/>
      <c r="D18" s="1"/>
    </row>
    <row r="19" spans="1:16">
      <c r="A19" t="s">
        <v>362</v>
      </c>
      <c r="B19">
        <v>17725.349999999999</v>
      </c>
      <c r="D19" s="1"/>
    </row>
    <row r="20" spans="1:16">
      <c r="A20" t="s">
        <v>363</v>
      </c>
      <c r="B20">
        <v>931</v>
      </c>
      <c r="C20" s="39">
        <v>935</v>
      </c>
      <c r="D20" s="41">
        <v>940</v>
      </c>
      <c r="E20" t="s">
        <v>364</v>
      </c>
      <c r="F20" t="s">
        <v>365</v>
      </c>
      <c r="G20" t="s">
        <v>366</v>
      </c>
      <c r="H20" t="s">
        <v>367</v>
      </c>
      <c r="I20" t="s">
        <v>368</v>
      </c>
      <c r="J20" t="s">
        <v>369</v>
      </c>
      <c r="K20" t="s">
        <v>370</v>
      </c>
      <c r="L20" t="s">
        <v>371</v>
      </c>
      <c r="M20" t="s">
        <v>372</v>
      </c>
      <c r="N20" t="s">
        <v>373</v>
      </c>
      <c r="O20" t="s">
        <v>374</v>
      </c>
      <c r="P20" t="s">
        <v>375</v>
      </c>
    </row>
    <row r="21" spans="1:16">
      <c r="A21">
        <v>3176.9481000000001</v>
      </c>
      <c r="B21">
        <v>3174.4868000000001</v>
      </c>
      <c r="C21" s="39">
        <v>3175.0974000000001</v>
      </c>
      <c r="D21" s="41">
        <v>3180.7406999999998</v>
      </c>
      <c r="E21">
        <v>3182.4101000000001</v>
      </c>
      <c r="F21">
        <v>3183.1370000000002</v>
      </c>
      <c r="G21">
        <v>3171.6046999999999</v>
      </c>
      <c r="H21">
        <v>942</v>
      </c>
      <c r="I21">
        <v>1059</v>
      </c>
      <c r="J21">
        <v>3182.4101000000001</v>
      </c>
      <c r="K21">
        <v>3181.5511000000001</v>
      </c>
      <c r="L21">
        <v>3191.0639999999999</v>
      </c>
      <c r="M21">
        <v>3193.0587</v>
      </c>
      <c r="N21">
        <v>3180.3042999999998</v>
      </c>
      <c r="O21">
        <v>1445</v>
      </c>
      <c r="P21">
        <v>1313</v>
      </c>
    </row>
    <row r="22" spans="1:16">
      <c r="C22" s="39"/>
      <c r="D22" s="41"/>
    </row>
    <row r="23" spans="1:16">
      <c r="A23" s="39"/>
      <c r="B23" s="39"/>
      <c r="C23" s="39"/>
      <c r="D23" s="1"/>
    </row>
    <row r="24" spans="1:16">
      <c r="C24" s="39"/>
      <c r="D24" s="1"/>
    </row>
    <row r="25" spans="1:16">
      <c r="D25" s="1"/>
    </row>
    <row r="26" spans="1:16">
      <c r="D26" s="25"/>
    </row>
    <row r="27" spans="1:16">
      <c r="D27" s="1"/>
    </row>
    <row r="28" spans="1:16">
      <c r="C28" s="1"/>
      <c r="D28" s="94"/>
    </row>
    <row r="29" spans="1:16">
      <c r="C29" s="1"/>
      <c r="D29" s="1"/>
    </row>
    <row r="30" spans="1:16">
      <c r="D30" s="1"/>
    </row>
    <row r="31" spans="1:16">
      <c r="D31" s="1"/>
    </row>
    <row r="32" spans="1:16">
      <c r="C32" s="1"/>
      <c r="D32" s="1"/>
    </row>
    <row r="33" spans="3:4">
      <c r="D33" s="1"/>
    </row>
    <row r="34" spans="3:4">
      <c r="D34" s="1"/>
    </row>
    <row r="35" spans="3:4">
      <c r="D35" s="1"/>
    </row>
    <row r="36" spans="3:4">
      <c r="D36" s="1"/>
    </row>
    <row r="37" spans="3:4">
      <c r="C37" s="1"/>
      <c r="D37" s="1"/>
    </row>
    <row r="38" spans="3:4">
      <c r="C38" s="1"/>
      <c r="D38" s="94"/>
    </row>
    <row r="39" spans="3:4">
      <c r="D39" s="1"/>
    </row>
    <row r="40" spans="3:4">
      <c r="D40" s="1"/>
    </row>
    <row r="41" spans="3:4">
      <c r="D41" s="1"/>
    </row>
    <row r="42" spans="3:4">
      <c r="D42" s="1"/>
    </row>
    <row r="43" spans="3:4">
      <c r="C43" s="1"/>
      <c r="D43" s="1"/>
    </row>
    <row r="44" spans="3:4">
      <c r="D44" s="1"/>
    </row>
    <row r="45" spans="3:4">
      <c r="D45" s="1"/>
    </row>
    <row r="46" spans="3:4">
      <c r="D46" s="25"/>
    </row>
    <row r="47" spans="3:4">
      <c r="D47" s="25"/>
    </row>
    <row r="48" spans="3:4">
      <c r="D48" s="25"/>
    </row>
    <row r="49" spans="3:4">
      <c r="D49" s="25"/>
    </row>
    <row r="50" spans="3:4">
      <c r="D50" s="25"/>
    </row>
    <row r="51" spans="3:4">
      <c r="D51" s="1"/>
    </row>
    <row r="52" spans="3:4">
      <c r="D52" s="1"/>
    </row>
    <row r="53" spans="3:4">
      <c r="D53" s="1"/>
    </row>
    <row r="54" spans="3:4">
      <c r="C54" s="1"/>
      <c r="D54" s="1"/>
    </row>
    <row r="55" spans="3:4">
      <c r="D55" s="1"/>
    </row>
    <row r="56" spans="3:4">
      <c r="D56" s="1"/>
    </row>
    <row r="57" spans="3:4"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C62" s="1"/>
      <c r="D62" s="94"/>
    </row>
    <row r="63" spans="3:4">
      <c r="C63" s="1"/>
      <c r="D63" s="94"/>
    </row>
    <row r="64" spans="3:4">
      <c r="D64" s="1"/>
    </row>
    <row r="65" spans="4:4">
      <c r="D65" s="1"/>
    </row>
    <row r="66" spans="4:4">
      <c r="D66" s="1"/>
    </row>
    <row r="67" spans="4:4">
      <c r="D67" s="1"/>
    </row>
    <row r="68" spans="4:4">
      <c r="D68" s="1"/>
    </row>
    <row r="69" spans="4:4">
      <c r="D69" s="1"/>
    </row>
    <row r="70" spans="4:4">
      <c r="D70" s="1"/>
    </row>
    <row r="71" spans="4:4">
      <c r="D71" s="1"/>
    </row>
    <row r="72" spans="4:4">
      <c r="D72" s="1"/>
    </row>
    <row r="73" spans="4:4">
      <c r="D73" s="1"/>
    </row>
    <row r="74" spans="4:4">
      <c r="D74" s="1"/>
    </row>
    <row r="75" spans="4:4">
      <c r="D75" s="1"/>
    </row>
    <row r="76" spans="4:4">
      <c r="D76" s="1"/>
    </row>
    <row r="77" spans="4:4">
      <c r="D77" s="1"/>
    </row>
    <row r="78" spans="4:4">
      <c r="D78" s="1"/>
    </row>
    <row r="79" spans="4:4">
      <c r="D79" s="1"/>
    </row>
    <row r="80" spans="4:4">
      <c r="D80" s="1"/>
    </row>
    <row r="81" spans="4:4">
      <c r="D81" s="1"/>
    </row>
    <row r="82" spans="4:4">
      <c r="D82" s="1"/>
    </row>
    <row r="83" spans="4:4">
      <c r="D83" s="25"/>
    </row>
    <row r="84" spans="4:4">
      <c r="D84" s="25"/>
    </row>
    <row r="85" spans="4:4">
      <c r="D85" s="25"/>
    </row>
    <row r="86" spans="4:4">
      <c r="D86" s="25"/>
    </row>
    <row r="87" spans="4:4">
      <c r="D87" s="25"/>
    </row>
    <row r="88" spans="4:4">
      <c r="D88" s="1"/>
    </row>
    <row r="89" spans="4:4">
      <c r="D89" s="1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9" spans="3:4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31"/>
  <sheetViews>
    <sheetView zoomScale="115" zoomScaleNormal="115" workbookViewId="0">
      <pane xSplit="1" ySplit="1" topLeftCell="B200" activePane="bottomRight" state="frozen"/>
      <selection pane="topRight" activeCell="B1" sqref="B1"/>
      <selection pane="bottomLeft" activeCell="A2" sqref="A2"/>
      <selection pane="bottomRight" activeCell="C226" sqref="C226"/>
    </sheetView>
  </sheetViews>
  <sheetFormatPr defaultRowHeight="13.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27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226" si="15">LN(C220/C219)</f>
        <v>5.8655326653686257E-5</v>
      </c>
      <c r="H220">
        <v>6.8302350000000001</v>
      </c>
      <c r="I220" s="25">
        <f t="shared" ref="I220:I226" si="16">LN(H220/H219)</f>
        <v>1.1859738836099735E-4</v>
      </c>
      <c r="J220">
        <v>6.8346549999999997</v>
      </c>
      <c r="K220" s="25">
        <f t="shared" ref="K220:K226" si="17">LN(J220/J219)</f>
        <v>6.0958008553464011E-4</v>
      </c>
      <c r="L220">
        <v>6.837275</v>
      </c>
      <c r="M220" s="25">
        <f t="shared" ref="M220:M226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>
      <c r="A227" s="1">
        <v>42919</v>
      </c>
      <c r="B227" s="41">
        <f t="shared" si="14"/>
        <v>1</v>
      </c>
    </row>
    <row r="228" spans="1:14">
      <c r="A228" s="1">
        <v>42920</v>
      </c>
      <c r="B228" s="41">
        <f t="shared" ref="B228:B231" si="19">WEEKDAY(A228,2)</f>
        <v>2</v>
      </c>
    </row>
    <row r="229" spans="1:14">
      <c r="A229" s="1">
        <v>42921</v>
      </c>
      <c r="B229" s="41">
        <f t="shared" si="19"/>
        <v>3</v>
      </c>
    </row>
    <row r="230" spans="1:14">
      <c r="A230" s="1">
        <v>42922</v>
      </c>
      <c r="B230" s="41">
        <f t="shared" si="19"/>
        <v>4</v>
      </c>
    </row>
    <row r="231" spans="1:14">
      <c r="A231" s="1">
        <v>42923</v>
      </c>
      <c r="B231" s="41">
        <f t="shared" si="19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285"/>
  <sheetViews>
    <sheetView zoomScale="115" zoomScaleNormal="115" workbookViewId="0">
      <pane xSplit="2" ySplit="6" topLeftCell="C259" activePane="bottomRight" state="frozen"/>
      <selection pane="topRight" activeCell="C1" sqref="C1"/>
      <selection pane="bottomLeft" activeCell="A3" sqref="A3"/>
      <selection pane="bottomRight" activeCell="A281" sqref="A281:A285"/>
    </sheetView>
  </sheetViews>
  <sheetFormatPr defaultRowHeight="13.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>
      <c r="BK2" s="51"/>
    </row>
    <row r="3" spans="1:284" s="39" customFormat="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>
      <c r="C5" s="45" t="s">
        <v>49</v>
      </c>
      <c r="BE5" s="45" t="s">
        <v>82</v>
      </c>
      <c r="BK5" s="52"/>
    </row>
    <row r="6" spans="1:284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2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2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2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2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2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2">
      <c r="A166" s="1">
        <v>42744</v>
      </c>
      <c r="B166" s="41">
        <f t="shared" si="139"/>
        <v>1</v>
      </c>
      <c r="C166">
        <f>M$3</f>
        <v>13</v>
      </c>
      <c r="D166" t="e">
        <f>HLOOKUP(931,$1:$3,3,0)</f>
        <v>#N/A</v>
      </c>
      <c r="E166" t="e">
        <f>HLOOKUP(935,$1:$3,3,0)</f>
        <v>#N/A</v>
      </c>
      <c r="F166" t="e">
        <f>HLOOKUP(940,$1:$3,3,0)</f>
        <v>#N/A</v>
      </c>
      <c r="G166" t="e">
        <f>HLOOKUP(1130,$1:$3,3,0)</f>
        <v>#N/A</v>
      </c>
      <c r="H166">
        <f>MAX($N$3:$EC$3)</f>
        <v>62</v>
      </c>
      <c r="I166">
        <f>MIN($N$3:$EC$3)</f>
        <v>14</v>
      </c>
      <c r="J166">
        <f>INDEX($N$1:$EC$1,1,MATCH(H166,$N$3:$EC$3,0))</f>
        <v>0</v>
      </c>
      <c r="K166">
        <f>INDEX($N$1:$EC$1,1,MATCH(I166,$N$3:$EC$3,0))</f>
        <v>0</v>
      </c>
      <c r="L166" t="e">
        <f>HLOOKUP(1300,$1:$3,3,0)</f>
        <v>#N/A</v>
      </c>
      <c r="M166" t="e">
        <f>HLOOKUP(1310,$1:$3,3,0)</f>
        <v>#N/A</v>
      </c>
      <c r="N166">
        <v>3171.24</v>
      </c>
      <c r="O166">
        <f>MAX($FG$3:$JX$3)</f>
        <v>0</v>
      </c>
      <c r="P166">
        <f>MIN($FG$3:$JX$3)</f>
        <v>0</v>
      </c>
      <c r="Q166" t="e">
        <f>INDEX($FG$1:$JX$1,1,MATCH(O166,$FG$3:$JX$3,0))</f>
        <v>#N/A</v>
      </c>
      <c r="R166" t="e">
        <f>INDEX($FG$1:$JX$1,1,MATCH(P166,$FG$3:$JX$3,0))</f>
        <v>#N/A</v>
      </c>
      <c r="S166">
        <f t="shared" si="149"/>
        <v>3134.1914999999999</v>
      </c>
      <c r="T166" t="str">
        <f t="shared" si="148"/>
        <v>牛</v>
      </c>
      <c r="U166">
        <f t="shared" si="144"/>
        <v>62</v>
      </c>
      <c r="V166">
        <f t="shared" si="145"/>
        <v>0</v>
      </c>
      <c r="W166" s="40" t="e">
        <f t="shared" si="151"/>
        <v>#DIV/0!</v>
      </c>
      <c r="X166">
        <f t="shared" si="101"/>
        <v>0</v>
      </c>
      <c r="Y166" t="e">
        <f t="shared" si="102"/>
        <v>#N/A</v>
      </c>
      <c r="Z166" s="25">
        <f t="shared" si="103"/>
        <v>4.7692307692307692</v>
      </c>
      <c r="AA166" s="25">
        <f t="shared" si="122"/>
        <v>-5.491578863380326</v>
      </c>
      <c r="AB166" s="25">
        <f t="shared" si="123"/>
        <v>3.9347435725327227</v>
      </c>
      <c r="AC166" s="25" t="e">
        <f t="shared" si="124"/>
        <v>#DIV/0!</v>
      </c>
      <c r="AD166" s="25">
        <f t="shared" si="125"/>
        <v>1.5621850275835547</v>
      </c>
      <c r="AE166" s="25" t="e">
        <f t="shared" si="126"/>
        <v>#NUM!</v>
      </c>
      <c r="AF166" s="25">
        <f t="shared" si="104"/>
        <v>5.4969286001162772</v>
      </c>
      <c r="AG166" s="25">
        <f t="shared" si="127"/>
        <v>5.3497367359517682E-3</v>
      </c>
      <c r="AH166" s="25" t="e">
        <f t="shared" si="105"/>
        <v>#N/A</v>
      </c>
      <c r="AI166" s="25" t="e">
        <f t="shared" si="106"/>
        <v>#N/A</v>
      </c>
      <c r="AJ166" s="25" t="e">
        <f t="shared" si="107"/>
        <v>#N/A</v>
      </c>
      <c r="AK166" s="25" t="e">
        <f t="shared" si="108"/>
        <v>#N/A</v>
      </c>
      <c r="AL166" s="25">
        <f t="shared" si="109"/>
        <v>1.488077055429833</v>
      </c>
      <c r="AM166" s="25" t="e">
        <f t="shared" si="110"/>
        <v>#DIV/0!</v>
      </c>
      <c r="AN166" s="25" t="e">
        <f t="shared" si="111"/>
        <v>#N/A</v>
      </c>
      <c r="AO166" s="40">
        <f t="shared" si="128"/>
        <v>-2.0833333333333332E-2</v>
      </c>
      <c r="AP166" s="40">
        <f t="shared" si="129"/>
        <v>65.423333333333332</v>
      </c>
      <c r="AQ166" s="25" t="e">
        <f t="shared" si="112"/>
        <v>#N/A</v>
      </c>
      <c r="AR166" s="25" t="e">
        <f t="shared" si="113"/>
        <v>#N/A</v>
      </c>
      <c r="AS166" s="25">
        <f t="shared" si="114"/>
        <v>5.4969286001162772</v>
      </c>
      <c r="AT166" s="28" t="e">
        <f t="shared" si="115"/>
        <v>#N/A</v>
      </c>
      <c r="AU166" s="28" t="e">
        <f t="shared" si="116"/>
        <v>#DIV/0!</v>
      </c>
      <c r="AV166" s="40">
        <f t="shared" si="117"/>
        <v>51.149032258064516</v>
      </c>
      <c r="AW166" s="25">
        <f t="shared" si="118"/>
        <v>5.4969286001162772</v>
      </c>
      <c r="AX166" s="28" t="e">
        <f t="shared" si="119"/>
        <v>#N/A</v>
      </c>
      <c r="AY166" s="25" t="e">
        <f t="shared" si="120"/>
        <v>#N/A</v>
      </c>
      <c r="AZ166" s="25" t="e">
        <f t="shared" si="121"/>
        <v>#DIV/0!</v>
      </c>
      <c r="BA166" s="25">
        <f t="shared" si="140"/>
        <v>6.8385060494485381E-2</v>
      </c>
      <c r="BB166" s="25">
        <f t="shared" si="141"/>
        <v>-2.3590555090335532E-3</v>
      </c>
      <c r="BC166" s="25">
        <f t="shared" si="142"/>
        <v>-2.9914126095010717E-3</v>
      </c>
      <c r="BD166" s="39">
        <f t="shared" si="136"/>
        <v>1</v>
      </c>
      <c r="BE166" t="str">
        <f t="shared" si="150"/>
        <v/>
      </c>
      <c r="BF166" t="str">
        <f t="shared" si="130"/>
        <v/>
      </c>
      <c r="BG166" t="str">
        <f t="shared" si="131"/>
        <v/>
      </c>
      <c r="BH166" t="str">
        <f t="shared" si="137"/>
        <v/>
      </c>
      <c r="BI166" t="str">
        <f t="shared" si="132"/>
        <v/>
      </c>
      <c r="BJ166" s="25" t="str">
        <f t="shared" si="146"/>
        <v/>
      </c>
    </row>
    <row r="167" spans="1:62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3131.1094999999996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-1.1579461791954642E-3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-3.0223095811078705E-3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1.0935534591194636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51.149032258064516</v>
      </c>
      <c r="BB167" s="25" t="e">
        <f t="shared" si="141"/>
        <v>#N/A</v>
      </c>
      <c r="BC167" s="25">
        <f t="shared" si="142"/>
        <v>5.4969286001162772</v>
      </c>
      <c r="BD167" s="39" t="e">
        <f t="shared" si="136"/>
        <v>#N/A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2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280" si="152">AVERAGE($N148:$N167)</f>
        <v>3131.5444999999991</v>
      </c>
      <c r="T168" t="str">
        <f t="shared" ref="T168:T199" si="153">IF(AVERAGE(N167)&lt;S167,"熊",IF(AVERAGE(N167)&gt;S167,"牛",""))</f>
        <v>牛</v>
      </c>
      <c r="U168">
        <f t="shared" ref="U168:U199" si="154">MAX(H168,O168)</f>
        <v>3167.01</v>
      </c>
      <c r="V168">
        <f t="shared" ref="V168:V199" si="155">MIN(I168,P168)</f>
        <v>3136.65</v>
      </c>
      <c r="W168" s="40">
        <f t="shared" si="151"/>
        <v>9.6325736950981459E-3</v>
      </c>
      <c r="X168">
        <f t="shared" ref="X168:X199" si="156">IF(U168=H168,J168,Q168)</f>
        <v>958</v>
      </c>
      <c r="Y168">
        <f t="shared" ref="Y168:Y199" si="157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2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52"/>
        <v>3130.6299999999997</v>
      </c>
      <c r="T169" t="str">
        <f t="shared" si="153"/>
        <v>牛</v>
      </c>
      <c r="U169">
        <f t="shared" si="154"/>
        <v>3144.81</v>
      </c>
      <c r="V169">
        <f t="shared" si="155"/>
        <v>3116.09</v>
      </c>
      <c r="W169" s="40">
        <f t="shared" si="151"/>
        <v>9.1744641979531142E-3</v>
      </c>
      <c r="X169">
        <f t="shared" si="156"/>
        <v>1303</v>
      </c>
      <c r="Y169">
        <f t="shared" si="157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158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2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52"/>
        <v>3129.5674999999997</v>
      </c>
      <c r="T170" t="str">
        <f t="shared" si="153"/>
        <v>熊</v>
      </c>
      <c r="U170">
        <f t="shared" si="154"/>
        <v>3130.51</v>
      </c>
      <c r="V170">
        <f t="shared" si="155"/>
        <v>3102.52</v>
      </c>
      <c r="W170" s="40">
        <f t="shared" si="151"/>
        <v>8.9812460859917207E-3</v>
      </c>
      <c r="X170">
        <f t="shared" si="156"/>
        <v>1113</v>
      </c>
      <c r="Y170">
        <f t="shared" si="157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158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2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52"/>
        <v>3129.3214999999991</v>
      </c>
      <c r="T171" t="str">
        <f t="shared" si="153"/>
        <v>熊</v>
      </c>
      <c r="U171">
        <f t="shared" si="154"/>
        <v>3105.13</v>
      </c>
      <c r="V171">
        <f t="shared" si="155"/>
        <v>3044.35</v>
      </c>
      <c r="W171" s="40">
        <f t="shared" si="151"/>
        <v>1.9768168785109223E-2</v>
      </c>
      <c r="X171">
        <f t="shared" si="156"/>
        <v>1459</v>
      </c>
      <c r="Y171">
        <f t="shared" si="157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158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2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52"/>
        <v>3128.3434999999995</v>
      </c>
      <c r="T172" t="str">
        <f t="shared" si="153"/>
        <v>熊</v>
      </c>
      <c r="U172">
        <f t="shared" si="154"/>
        <v>3108.76</v>
      </c>
      <c r="V172">
        <f t="shared" si="155"/>
        <v>3072.33</v>
      </c>
      <c r="W172" s="40">
        <f t="shared" si="151"/>
        <v>1.17877014661749E-2</v>
      </c>
      <c r="X172">
        <f t="shared" si="156"/>
        <v>1500</v>
      </c>
      <c r="Y172">
        <f t="shared" si="157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158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2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52"/>
        <v>3127.8774999999996</v>
      </c>
      <c r="T173" t="str">
        <f t="shared" si="153"/>
        <v>熊</v>
      </c>
      <c r="U173">
        <f t="shared" si="154"/>
        <v>3123.64</v>
      </c>
      <c r="V173">
        <f t="shared" si="155"/>
        <v>3098.61</v>
      </c>
      <c r="W173" s="40">
        <f t="shared" si="151"/>
        <v>8.0453646225877497E-3</v>
      </c>
      <c r="X173">
        <f t="shared" si="156"/>
        <v>1333</v>
      </c>
      <c r="Y173">
        <f t="shared" si="157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158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2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52"/>
        <v>3128.384</v>
      </c>
      <c r="T174" t="str">
        <f t="shared" si="153"/>
        <v>熊</v>
      </c>
      <c r="U174">
        <f t="shared" si="154"/>
        <v>3115.69</v>
      </c>
      <c r="V174">
        <f t="shared" si="155"/>
        <v>3094</v>
      </c>
      <c r="W174" s="40">
        <f t="shared" si="151"/>
        <v>6.9858843873342727E-3</v>
      </c>
      <c r="X174">
        <f t="shared" si="156"/>
        <v>1015</v>
      </c>
      <c r="Y174">
        <f t="shared" si="157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158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2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52"/>
        <v>3126.5770000000002</v>
      </c>
      <c r="T175" t="str">
        <f t="shared" si="153"/>
        <v>熊</v>
      </c>
      <c r="U175">
        <f t="shared" si="154"/>
        <v>3125.5</v>
      </c>
      <c r="V175">
        <f t="shared" si="155"/>
        <v>3095.37</v>
      </c>
      <c r="W175" s="40">
        <f t="shared" si="151"/>
        <v>9.6868237409102886E-3</v>
      </c>
      <c r="X175">
        <f t="shared" si="156"/>
        <v>1355</v>
      </c>
      <c r="Y175">
        <f t="shared" si="157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159">AV174</f>
        <v>0.33609958506223814</v>
      </c>
      <c r="BB175" s="25">
        <f t="shared" ref="BB175:BB206" si="160">AR174</f>
        <v>-3.2353475956264166E-3</v>
      </c>
      <c r="BC175" s="25">
        <f t="shared" ref="BC175:BC206" si="161">AS174</f>
        <v>-1.1858995373326283E-3</v>
      </c>
      <c r="BD175" s="39">
        <f t="shared" si="158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2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52"/>
        <v>3125.7555000000002</v>
      </c>
      <c r="T176" t="str">
        <f t="shared" si="153"/>
        <v>熊</v>
      </c>
      <c r="U176">
        <f t="shared" si="154"/>
        <v>3145.65</v>
      </c>
      <c r="V176">
        <f t="shared" si="155"/>
        <v>3125.42</v>
      </c>
      <c r="W176" s="40">
        <f t="shared" si="151"/>
        <v>6.4518719056070031E-3</v>
      </c>
      <c r="X176">
        <f t="shared" si="156"/>
        <v>1046</v>
      </c>
      <c r="Y176">
        <f t="shared" si="157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159"/>
        <v>0.92134085628941642</v>
      </c>
      <c r="BB176" s="25">
        <f t="shared" si="160"/>
        <v>1.3809789200386279E-3</v>
      </c>
      <c r="BC176" s="25">
        <f t="shared" si="161"/>
        <v>8.7861197403759066E-3</v>
      </c>
      <c r="BD176" s="39">
        <f t="shared" si="158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52"/>
        <v>3127.0864999999999</v>
      </c>
      <c r="T177" t="str">
        <f t="shared" si="153"/>
        <v>牛</v>
      </c>
      <c r="U177">
        <f t="shared" si="154"/>
        <v>3149.4666999999999</v>
      </c>
      <c r="V177">
        <f t="shared" si="155"/>
        <v>3131.2921999999999</v>
      </c>
      <c r="W177" s="40">
        <f t="shared" si="151"/>
        <v>5.7873741109772045E-3</v>
      </c>
      <c r="X177">
        <f t="shared" si="156"/>
        <v>1436</v>
      </c>
      <c r="Y177">
        <f t="shared" si="157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159"/>
        <v>0.56104794859119622</v>
      </c>
      <c r="BB177" s="25">
        <f t="shared" si="160"/>
        <v>9.4728237531598578E-4</v>
      </c>
      <c r="BC177" s="25">
        <f t="shared" si="161"/>
        <v>3.6249339059930899E-3</v>
      </c>
      <c r="BD177" s="39">
        <f t="shared" si="158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52"/>
        <v>3128.1126549999999</v>
      </c>
      <c r="T178" t="str">
        <f t="shared" si="153"/>
        <v>牛</v>
      </c>
      <c r="U178">
        <f t="shared" si="154"/>
        <v>3151.4713000000002</v>
      </c>
      <c r="V178">
        <f t="shared" si="155"/>
        <v>3133.2878000000001</v>
      </c>
      <c r="W178" s="40">
        <f t="shared" si="151"/>
        <v>5.7865545676434637E-3</v>
      </c>
      <c r="X178">
        <f t="shared" si="156"/>
        <v>1112</v>
      </c>
      <c r="Y178">
        <f t="shared" si="157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159"/>
        <v>0.64931084761617275</v>
      </c>
      <c r="BB178" s="25">
        <f t="shared" si="160"/>
        <v>6.252484998309426E-4</v>
      </c>
      <c r="BC178" s="25">
        <f t="shared" si="161"/>
        <v>2.7594651185093213E-3</v>
      </c>
      <c r="BD178" s="39">
        <f t="shared" si="158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52"/>
        <v>3129.8512399999995</v>
      </c>
      <c r="T179" t="str">
        <f t="shared" si="153"/>
        <v>牛</v>
      </c>
      <c r="U179">
        <f t="shared" si="154"/>
        <v>3162.8987999999999</v>
      </c>
      <c r="V179">
        <f t="shared" si="155"/>
        <v>3148.9780000000001</v>
      </c>
      <c r="W179" s="40">
        <f t="shared" si="151"/>
        <v>4.4109931205398691E-3</v>
      </c>
      <c r="X179">
        <f t="shared" si="156"/>
        <v>1019</v>
      </c>
      <c r="Y179">
        <f t="shared" si="157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159"/>
        <v>0.88783237550526284</v>
      </c>
      <c r="BB179" s="25">
        <f t="shared" si="160"/>
        <v>-6.4422246220834182E-5</v>
      </c>
      <c r="BC179" s="25">
        <f t="shared" si="161"/>
        <v>4.692312459412146E-3</v>
      </c>
      <c r="BD179" s="39">
        <f t="shared" si="158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52"/>
        <v>3132.6840999999995</v>
      </c>
      <c r="T180" t="str">
        <f t="shared" si="153"/>
        <v>牛</v>
      </c>
      <c r="U180">
        <f t="shared" si="154"/>
        <v>3162.61</v>
      </c>
      <c r="V180">
        <f t="shared" si="155"/>
        <v>3136.01</v>
      </c>
      <c r="W180" s="40">
        <f t="shared" si="151"/>
        <v>8.4463447988457774E-3</v>
      </c>
      <c r="X180">
        <f t="shared" si="156"/>
        <v>931</v>
      </c>
      <c r="Y180">
        <f t="shared" si="157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159"/>
        <v>0.71254525601976249</v>
      </c>
      <c r="BB180" s="25">
        <f t="shared" si="160"/>
        <v>1.5298042941140214E-3</v>
      </c>
      <c r="BC180" s="25">
        <f t="shared" si="161"/>
        <v>2.2219437908769721E-3</v>
      </c>
      <c r="BD180" s="39">
        <f t="shared" si="158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52"/>
        <v>3134.8875999999996</v>
      </c>
      <c r="T181" t="str">
        <f t="shared" si="153"/>
        <v>牛</v>
      </c>
      <c r="U181">
        <f t="shared" si="154"/>
        <v>3158.64</v>
      </c>
      <c r="V181">
        <f t="shared" si="155"/>
        <v>3135.38</v>
      </c>
      <c r="W181" s="40">
        <f t="shared" si="151"/>
        <v>7.3911763515402962E-3</v>
      </c>
      <c r="X181">
        <f t="shared" si="156"/>
        <v>1120</v>
      </c>
      <c r="Y181">
        <f t="shared" si="157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159"/>
        <v>0.15639097744360408</v>
      </c>
      <c r="BB181" s="25">
        <f t="shared" si="160"/>
        <v>-6.1761018664131589E-4</v>
      </c>
      <c r="BC181" s="25">
        <f t="shared" si="161"/>
        <v>-6.3204051520340679E-3</v>
      </c>
      <c r="BD181" s="39">
        <f t="shared" si="158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52"/>
        <v>3137.5545999999999</v>
      </c>
      <c r="T182" t="str">
        <f t="shared" si="153"/>
        <v>牛</v>
      </c>
      <c r="U182">
        <f t="shared" si="154"/>
        <v>3159.3281000000002</v>
      </c>
      <c r="V182">
        <f t="shared" si="155"/>
        <v>3140.2618000000002</v>
      </c>
      <c r="W182" s="40">
        <f t="shared" si="151"/>
        <v>6.0532061675338603E-3</v>
      </c>
      <c r="X182">
        <f t="shared" si="156"/>
        <v>1013</v>
      </c>
      <c r="Y182">
        <f t="shared" si="157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159"/>
        <v>0.9286328460877098</v>
      </c>
      <c r="BB182" s="25">
        <f t="shared" si="160"/>
        <v>1.0807299940258747E-3</v>
      </c>
      <c r="BC182" s="25">
        <f t="shared" si="161"/>
        <v>4.4094819600036736E-3</v>
      </c>
      <c r="BD182" s="39">
        <f t="shared" si="158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52"/>
        <v>3138.4411799999998</v>
      </c>
      <c r="T183" t="str">
        <f t="shared" si="153"/>
        <v>牛</v>
      </c>
      <c r="U183">
        <f t="shared" si="154"/>
        <v>3167.4465</v>
      </c>
      <c r="V183">
        <f t="shared" si="155"/>
        <v>3132.2055999999998</v>
      </c>
      <c r="W183" s="40">
        <f t="shared" si="151"/>
        <v>1.1188321849165087E-2</v>
      </c>
      <c r="X183">
        <f t="shared" si="156"/>
        <v>1500</v>
      </c>
      <c r="Y183">
        <f t="shared" si="157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159"/>
        <v>0.70227574306498664</v>
      </c>
      <c r="BB183" s="25">
        <f t="shared" si="160"/>
        <v>2.2814508643583991E-3</v>
      </c>
      <c r="BC183" s="25">
        <f t="shared" si="161"/>
        <v>5.5075145469603152E-4</v>
      </c>
      <c r="BD183" s="39">
        <f t="shared" si="158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162">IF(MAX(BE183:BI183)=0,"",MAX(BE183:BI183)*AR183)</f>
        <v>3.8655933014242619E-3</v>
      </c>
    </row>
    <row r="184" spans="1:63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52"/>
        <v>3138.8739899999996</v>
      </c>
      <c r="T184" t="str">
        <f t="shared" si="153"/>
        <v>牛</v>
      </c>
      <c r="U184">
        <f t="shared" si="154"/>
        <v>3186.74</v>
      </c>
      <c r="V184">
        <f t="shared" si="155"/>
        <v>3162.57</v>
      </c>
      <c r="W184" s="40">
        <f t="shared" si="151"/>
        <v>7.6134624866881885E-3</v>
      </c>
      <c r="X184">
        <f t="shared" si="156"/>
        <v>1017</v>
      </c>
      <c r="Y184">
        <f t="shared" si="157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159"/>
        <v>0.99999148716405795</v>
      </c>
      <c r="BB184" s="25">
        <f t="shared" si="160"/>
        <v>7.7311866028485238E-3</v>
      </c>
      <c r="BC184" s="25">
        <f t="shared" si="161"/>
        <v>6.7181311012313614E-3</v>
      </c>
      <c r="BD184" s="39">
        <f t="shared" si="158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162"/>
        <v>-4.2742969656337491E-4</v>
      </c>
    </row>
    <row r="185" spans="1:63" ht="40.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52"/>
        <v>3139.76199</v>
      </c>
      <c r="T185" t="str">
        <f t="shared" si="153"/>
        <v>牛</v>
      </c>
      <c r="U185">
        <f t="shared" si="154"/>
        <v>3204.94</v>
      </c>
      <c r="V185">
        <f t="shared" si="155"/>
        <v>3183.01</v>
      </c>
      <c r="W185" s="40">
        <f t="shared" si="151"/>
        <v>6.8660794633179931E-3</v>
      </c>
      <c r="X185">
        <f t="shared" si="156"/>
        <v>1329</v>
      </c>
      <c r="Y185">
        <f t="shared" si="157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159"/>
        <v>0.85229623500207841</v>
      </c>
      <c r="BB185" s="25">
        <f t="shared" si="160"/>
        <v>8.5485939312674982E-4</v>
      </c>
      <c r="BC185" s="25">
        <f t="shared" si="161"/>
        <v>5.825610968241658E-3</v>
      </c>
      <c r="BD185" s="39">
        <f t="shared" si="158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162"/>
        <v/>
      </c>
      <c r="BK185" s="50" t="s">
        <v>189</v>
      </c>
    </row>
    <row r="186" spans="1:63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52"/>
        <v>3141.8809900000001</v>
      </c>
      <c r="T186" t="str">
        <f t="shared" si="153"/>
        <v>牛</v>
      </c>
      <c r="U186">
        <f t="shared" si="154"/>
        <v>3219.37</v>
      </c>
      <c r="V186">
        <f t="shared" si="155"/>
        <v>3198.99</v>
      </c>
      <c r="W186" s="40">
        <f t="shared" si="151"/>
        <v>6.3505532543932288E-3</v>
      </c>
      <c r="X186">
        <f t="shared" si="156"/>
        <v>1312</v>
      </c>
      <c r="Y186">
        <f t="shared" si="157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159"/>
        <v>0.62425900592793904</v>
      </c>
      <c r="BB186" s="25">
        <f t="shared" si="160"/>
        <v>-3.5029994790950782E-4</v>
      </c>
      <c r="BC186" s="25">
        <f t="shared" si="161"/>
        <v>4.2917377162964582E-3</v>
      </c>
      <c r="BD186" s="39">
        <f t="shared" si="158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162"/>
        <v/>
      </c>
    </row>
    <row r="187" spans="1:63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52"/>
        <v>3144.1604899999998</v>
      </c>
      <c r="T187" t="str">
        <f t="shared" si="153"/>
        <v>牛</v>
      </c>
      <c r="U187">
        <f t="shared" si="154"/>
        <v>3219.4</v>
      </c>
      <c r="V187">
        <f t="shared" si="155"/>
        <v>3205.4</v>
      </c>
      <c r="W187" s="40">
        <f t="shared" si="151"/>
        <v>4.3581192126539575E-3</v>
      </c>
      <c r="X187">
        <f t="shared" si="156"/>
        <v>1434</v>
      </c>
      <c r="Y187">
        <f t="shared" si="157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159"/>
        <v>0.87536800785083657</v>
      </c>
      <c r="BB187" s="25">
        <f t="shared" si="160"/>
        <v>-4.8793905770255612E-4</v>
      </c>
      <c r="BC187" s="25">
        <f t="shared" si="161"/>
        <v>5.5612676101115897E-3</v>
      </c>
      <c r="BD187" s="39">
        <f t="shared" si="158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162"/>
        <v/>
      </c>
      <c r="BK187" s="50" t="s">
        <v>190</v>
      </c>
    </row>
    <row r="188" spans="1:63" ht="94.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52"/>
        <v>3146.9729899999998</v>
      </c>
      <c r="T188" t="str">
        <f t="shared" si="153"/>
        <v>牛</v>
      </c>
      <c r="U188">
        <f t="shared" si="154"/>
        <v>3235.76</v>
      </c>
      <c r="V188">
        <f t="shared" si="155"/>
        <v>3206.74</v>
      </c>
      <c r="W188" s="40">
        <f t="shared" si="151"/>
        <v>9.00898603836775E-3</v>
      </c>
      <c r="X188">
        <f t="shared" si="156"/>
        <v>1317</v>
      </c>
      <c r="Y188">
        <f t="shared" si="157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159"/>
        <v>0.89428571428571302</v>
      </c>
      <c r="BB188" s="25">
        <f t="shared" si="160"/>
        <v>1.5985821433406474E-3</v>
      </c>
      <c r="BC188" s="25">
        <f t="shared" si="161"/>
        <v>5.5641471427218619E-4</v>
      </c>
      <c r="BD188" s="39">
        <f t="shared" si="158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162"/>
        <v/>
      </c>
      <c r="BK188" s="50" t="s">
        <v>195</v>
      </c>
    </row>
    <row r="189" spans="1:63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52"/>
        <v>3150.78449</v>
      </c>
      <c r="T189" t="str">
        <f t="shared" si="153"/>
        <v>牛</v>
      </c>
      <c r="U189">
        <f t="shared" si="154"/>
        <v>3230.2754</v>
      </c>
      <c r="V189">
        <f t="shared" si="155"/>
        <v>3207.9083000000001</v>
      </c>
      <c r="W189" s="40">
        <f t="shared" si="151"/>
        <v>6.9482919500782553E-3</v>
      </c>
      <c r="X189">
        <f t="shared" si="156"/>
        <v>1336</v>
      </c>
      <c r="Y189">
        <f t="shared" si="157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159"/>
        <v>0.21502412129566309</v>
      </c>
      <c r="BB189" s="25">
        <f t="shared" si="160"/>
        <v>-5.6114013698337463E-3</v>
      </c>
      <c r="BC189" s="25">
        <f t="shared" si="161"/>
        <v>-7.7157136818050104E-4</v>
      </c>
      <c r="BD189" s="39">
        <f t="shared" si="158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162"/>
        <v>5.9615535973609876E-3</v>
      </c>
    </row>
    <row r="190" spans="1:63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52"/>
        <v>3156.2621300000001</v>
      </c>
      <c r="T190" t="str">
        <f t="shared" si="153"/>
        <v>牛</v>
      </c>
      <c r="U190">
        <f t="shared" si="154"/>
        <v>3238.0789</v>
      </c>
      <c r="V190">
        <f t="shared" si="155"/>
        <v>3199.6325999999999</v>
      </c>
      <c r="W190" s="40">
        <f t="shared" si="151"/>
        <v>1.1944231137498066E-2</v>
      </c>
      <c r="X190">
        <f t="shared" si="156"/>
        <v>1025</v>
      </c>
      <c r="Y190">
        <f t="shared" si="157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159"/>
        <v>0.93550348502935732</v>
      </c>
      <c r="BB190" s="25">
        <f t="shared" si="160"/>
        <v>2.9807767986804938E-3</v>
      </c>
      <c r="BC190" s="25">
        <f t="shared" si="161"/>
        <v>5.7386572346837294E-3</v>
      </c>
      <c r="BD190" s="39">
        <f t="shared" si="158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162"/>
        <v/>
      </c>
    </row>
    <row r="191" spans="1:63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52"/>
        <v>3160.7341000000001</v>
      </c>
      <c r="T191" t="str">
        <f t="shared" si="153"/>
        <v>牛</v>
      </c>
      <c r="U191">
        <f t="shared" si="154"/>
        <v>3241.45</v>
      </c>
      <c r="V191">
        <f t="shared" si="155"/>
        <v>3198.96</v>
      </c>
      <c r="W191" s="40">
        <f t="shared" si="151"/>
        <v>1.3195003574630623E-2</v>
      </c>
      <c r="X191">
        <f t="shared" si="156"/>
        <v>1459</v>
      </c>
      <c r="Y191">
        <f t="shared" si="157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159"/>
        <v>6.6763251600285414E-2</v>
      </c>
      <c r="BB191" s="25">
        <f t="shared" si="160"/>
        <v>-3.8713618564422039E-3</v>
      </c>
      <c r="BC191" s="25">
        <f t="shared" si="161"/>
        <v>-7.9341847410596203E-3</v>
      </c>
      <c r="BD191" s="39">
        <f t="shared" si="158"/>
        <v>1</v>
      </c>
      <c r="BE191" t="str">
        <f t="shared" ref="BE191:BE210" si="163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162"/>
        <v/>
      </c>
    </row>
    <row r="192" spans="1:63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52"/>
        <v>3167.5610999999999</v>
      </c>
      <c r="T192" t="str">
        <f t="shared" si="153"/>
        <v>牛</v>
      </c>
      <c r="U192">
        <f t="shared" si="154"/>
        <v>3254.3004999999998</v>
      </c>
      <c r="V192">
        <f t="shared" si="155"/>
        <v>3240.17</v>
      </c>
      <c r="W192" s="40">
        <f t="shared" si="151"/>
        <v>4.35155484899235E-3</v>
      </c>
      <c r="X192">
        <f t="shared" si="156"/>
        <v>1008</v>
      </c>
      <c r="Y192">
        <f t="shared" si="157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159"/>
        <v>0.96493292539421538</v>
      </c>
      <c r="BB192" s="25">
        <f t="shared" si="160"/>
        <v>3.3482329408378504E-3</v>
      </c>
      <c r="BC192" s="25">
        <f t="shared" si="161"/>
        <v>1.2735227067281753E-2</v>
      </c>
      <c r="BD192" s="39">
        <f t="shared" si="158"/>
        <v>0</v>
      </c>
      <c r="BE192">
        <f t="shared" si="163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162"/>
        <v/>
      </c>
    </row>
    <row r="193" spans="1:63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52"/>
        <v>3174.7635049999999</v>
      </c>
      <c r="T193" t="str">
        <f t="shared" si="153"/>
        <v>牛</v>
      </c>
      <c r="U193">
        <f t="shared" si="154"/>
        <v>3261.21</v>
      </c>
      <c r="V193">
        <f t="shared" si="155"/>
        <v>3244.09</v>
      </c>
      <c r="W193" s="40">
        <f t="shared" ref="W193:W224" si="164">LN(U193/V193)</f>
        <v>5.2634127630276188E-3</v>
      </c>
      <c r="X193">
        <f t="shared" si="156"/>
        <v>1459</v>
      </c>
      <c r="Y193">
        <f t="shared" si="157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159"/>
        <v>0.89438448745623578</v>
      </c>
      <c r="BB193" s="25">
        <f t="shared" si="160"/>
        <v>1.3551938782475547E-3</v>
      </c>
      <c r="BC193" s="25">
        <f t="shared" si="161"/>
        <v>3.2595717745898542E-3</v>
      </c>
      <c r="BD193" s="39">
        <f t="shared" si="158"/>
        <v>0</v>
      </c>
      <c r="BE193" t="str">
        <f t="shared" si="163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162"/>
        <v/>
      </c>
    </row>
    <row r="194" spans="1:63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52"/>
        <v>3182.1735049999997</v>
      </c>
      <c r="T194" t="str">
        <f t="shared" si="153"/>
        <v>牛</v>
      </c>
      <c r="U194">
        <f t="shared" si="154"/>
        <v>3264.0736999999999</v>
      </c>
      <c r="V194">
        <f t="shared" si="155"/>
        <v>3236.4247</v>
      </c>
      <c r="W194" s="40">
        <f t="shared" si="164"/>
        <v>8.5067836446624003E-3</v>
      </c>
      <c r="X194">
        <f t="shared" si="156"/>
        <v>941</v>
      </c>
      <c r="Y194">
        <f t="shared" si="157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159"/>
        <v>1</v>
      </c>
      <c r="BB194" s="25">
        <f t="shared" si="160"/>
        <v>3.8156728322374786E-3</v>
      </c>
      <c r="BC194" s="25">
        <f t="shared" si="161"/>
        <v>2.6159458569066534E-3</v>
      </c>
      <c r="BD194" s="39">
        <f t="shared" si="158"/>
        <v>0</v>
      </c>
      <c r="BE194" t="str">
        <f t="shared" si="163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162"/>
        <v/>
      </c>
    </row>
    <row r="195" spans="1:63" ht="40.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52"/>
        <v>3189.6500649999994</v>
      </c>
      <c r="T195" t="str">
        <f t="shared" si="153"/>
        <v>牛</v>
      </c>
      <c r="U195">
        <f t="shared" si="154"/>
        <v>3253.9555999999998</v>
      </c>
      <c r="V195">
        <f t="shared" si="155"/>
        <v>3233.5524999999998</v>
      </c>
      <c r="W195" s="40">
        <f t="shared" si="164"/>
        <v>6.2899859096422423E-3</v>
      </c>
      <c r="X195">
        <f t="shared" si="156"/>
        <v>1425</v>
      </c>
      <c r="Y195">
        <f t="shared" si="157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159"/>
        <v>0.52068790914680063</v>
      </c>
      <c r="BB195" s="25">
        <f t="shared" si="160"/>
        <v>7.5030728050811053E-4</v>
      </c>
      <c r="BC195" s="25">
        <f t="shared" si="161"/>
        <v>-2.4611769384953485E-3</v>
      </c>
      <c r="BD195" s="39">
        <f t="shared" si="158"/>
        <v>0</v>
      </c>
      <c r="BE195" t="str">
        <f t="shared" si="163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162"/>
        <v/>
      </c>
      <c r="BK195" s="50" t="s">
        <v>205</v>
      </c>
    </row>
    <row r="196" spans="1:63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52"/>
        <v>3196.1282899999997</v>
      </c>
      <c r="T196" t="str">
        <f t="shared" si="153"/>
        <v>牛</v>
      </c>
      <c r="U196">
        <f t="shared" si="154"/>
        <v>3251.4737</v>
      </c>
      <c r="V196">
        <f t="shared" si="155"/>
        <v>3224.1453999999999</v>
      </c>
      <c r="W196" s="40">
        <f t="shared" si="164"/>
        <v>8.4404168368284876E-3</v>
      </c>
      <c r="X196">
        <f t="shared" si="156"/>
        <v>950</v>
      </c>
      <c r="Y196">
        <f t="shared" si="157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159"/>
        <v>0.93819076512884247</v>
      </c>
      <c r="BB196" s="25">
        <f t="shared" si="160"/>
        <v>3.2577117787709713E-3</v>
      </c>
      <c r="BC196" s="25">
        <f t="shared" si="161"/>
        <v>2.0516347138652491E-3</v>
      </c>
      <c r="BD196" s="39">
        <f t="shared" si="158"/>
        <v>0</v>
      </c>
      <c r="BE196" t="str">
        <f t="shared" si="163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162"/>
        <v/>
      </c>
    </row>
    <row r="197" spans="1:63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52"/>
        <v>3200.7595499999998</v>
      </c>
      <c r="T197" t="str">
        <f t="shared" si="153"/>
        <v>牛</v>
      </c>
      <c r="U197">
        <f t="shared" si="154"/>
        <v>3242.6790000000001</v>
      </c>
      <c r="V197">
        <f t="shared" si="155"/>
        <v>3225.9688999999998</v>
      </c>
      <c r="W197" s="40">
        <f t="shared" si="164"/>
        <v>5.1665007674426859E-3</v>
      </c>
      <c r="X197">
        <f t="shared" si="156"/>
        <v>1500</v>
      </c>
      <c r="Y197">
        <f t="shared" si="157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159"/>
        <v>0.19210122839693747</v>
      </c>
      <c r="BB197" s="25">
        <f t="shared" si="160"/>
        <v>-4.7323047392392667E-3</v>
      </c>
      <c r="BC197" s="25">
        <f t="shared" si="161"/>
        <v>-6.1122443487997193E-3</v>
      </c>
      <c r="BD197" s="39">
        <f t="shared" si="158"/>
        <v>1</v>
      </c>
      <c r="BE197">
        <f t="shared" si="163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162"/>
        <v>1.3117513023710959E-3</v>
      </c>
    </row>
    <row r="198" spans="1:63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52"/>
        <v>3205.7045249999996</v>
      </c>
      <c r="T198" t="str">
        <f t="shared" si="153"/>
        <v>牛</v>
      </c>
      <c r="U198">
        <f t="shared" si="154"/>
        <v>3259.9515000000001</v>
      </c>
      <c r="V198">
        <f t="shared" si="155"/>
        <v>3238.0736000000002</v>
      </c>
      <c r="W198" s="40">
        <f t="shared" si="164"/>
        <v>6.73373288991922E-3</v>
      </c>
      <c r="X198">
        <f t="shared" si="156"/>
        <v>1111</v>
      </c>
      <c r="Y198">
        <f t="shared" si="157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159"/>
        <v>0.95892304654071259</v>
      </c>
      <c r="BB198" s="25">
        <f t="shared" si="160"/>
        <v>1.3117513023710959E-3</v>
      </c>
      <c r="BC198" s="25">
        <f t="shared" si="161"/>
        <v>4.9548015342652935E-3</v>
      </c>
      <c r="BD198" s="39">
        <f t="shared" si="158"/>
        <v>0</v>
      </c>
      <c r="BE198" t="str">
        <f t="shared" si="163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162"/>
        <v/>
      </c>
    </row>
    <row r="199" spans="1:63" ht="27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52"/>
        <v>3210.5988449999995</v>
      </c>
      <c r="T199" t="str">
        <f t="shared" si="153"/>
        <v>牛</v>
      </c>
      <c r="U199">
        <f t="shared" si="154"/>
        <v>3256.7449000000001</v>
      </c>
      <c r="V199">
        <f t="shared" si="155"/>
        <v>3228.6851000000001</v>
      </c>
      <c r="W199" s="40">
        <f t="shared" si="164"/>
        <v>8.6532350482147885E-3</v>
      </c>
      <c r="X199">
        <f t="shared" si="156"/>
        <v>946</v>
      </c>
      <c r="Y199">
        <f t="shared" si="157"/>
        <v>1452</v>
      </c>
      <c r="Z199" s="25">
        <f t="shared" ref="Z199:Z210" si="165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6">LN(N199/C199)</f>
        <v>-6.1931998662460947E-3</v>
      </c>
      <c r="AG199" s="25">
        <f t="shared" si="127"/>
        <v>-5.2081949933177954E-3</v>
      </c>
      <c r="AH199" s="25">
        <f t="shared" ref="AH199:AH210" si="167">LN(D199/C199)</f>
        <v>9.7232584518838609E-4</v>
      </c>
      <c r="AI199" s="25">
        <f t="shared" ref="AI199:AI210" si="168">LN(E199/C199)</f>
        <v>2.9689318360056293E-4</v>
      </c>
      <c r="AJ199" s="25">
        <f t="shared" ref="AJ199:AJ210" si="169">LN(F199/C199)</f>
        <v>-1.8186445886807015E-4</v>
      </c>
      <c r="AK199" s="25">
        <f t="shared" ref="AK199:AK210" si="170">+LN(G199/C199)</f>
        <v>-7.6937324161458994E-4</v>
      </c>
      <c r="AL199" s="25">
        <f t="shared" ref="AL199:AL210" si="171">LN(H199/I199)</f>
        <v>5.9891065793563096E-3</v>
      </c>
      <c r="AM199" s="25">
        <f t="shared" ref="AM199:AM210" si="172">LN(O199/P199)</f>
        <v>6.1491697354154363E-3</v>
      </c>
      <c r="AN199" s="25">
        <f t="shared" ref="AN199:AN210" si="173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74">LN(M199/L199)</f>
        <v>-5.2966310905117227E-4</v>
      </c>
      <c r="AR199" s="25">
        <f t="shared" ref="AR199:AR210" si="175">LN(N199/L199)</f>
        <v>-5.4238266246314764E-3</v>
      </c>
      <c r="AS199" s="25">
        <f t="shared" ref="AS199:AS210" si="176">LN(N199/C199)</f>
        <v>-6.1931998662460947E-3</v>
      </c>
      <c r="AT199" s="28">
        <f t="shared" ref="AT199:AT210" si="177">+(G199-I199)/(H199-I199)</f>
        <v>0.5512606251960368</v>
      </c>
      <c r="AU199" s="28">
        <f t="shared" ref="AU199:AU210" si="178">+(N199-P199)/(O199-P199)</f>
        <v>8.8591958784620672E-2</v>
      </c>
      <c r="AV199" s="40">
        <f t="shared" ref="AV199:AV210" si="179">+(N199-V199)/(U199-V199)</f>
        <v>6.2876428199766979E-2</v>
      </c>
      <c r="AW199" s="25">
        <f t="shared" ref="AW199:AW210" si="180">LN(N199/C199)</f>
        <v>-6.1931998662460947E-3</v>
      </c>
      <c r="AX199" s="28">
        <f t="shared" ref="AX199:AX210" si="181">(N199-L199)/(U199-V199)</f>
        <v>-0.62612705721352124</v>
      </c>
      <c r="AY199" s="25">
        <f t="shared" ref="AY199:AY210" si="182">LN(G199/I199)</f>
        <v>3.3059942714143797E-3</v>
      </c>
      <c r="AZ199" s="25">
        <f t="shared" ref="AZ199:AZ210" si="183">LN(N199/P199)</f>
        <v>5.4629611564136946E-4</v>
      </c>
      <c r="BA199" s="25">
        <f t="shared" si="159"/>
        <v>0.42254969626882877</v>
      </c>
      <c r="BB199" s="25">
        <f t="shared" si="160"/>
        <v>-2.1090243395801961E-3</v>
      </c>
      <c r="BC199" s="25">
        <f t="shared" si="161"/>
        <v>2.233718716098872E-3</v>
      </c>
      <c r="BD199" s="39">
        <f t="shared" si="158"/>
        <v>1</v>
      </c>
      <c r="BE199" t="str">
        <f t="shared" si="163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162"/>
        <v/>
      </c>
      <c r="BK199" s="50" t="s">
        <v>210</v>
      </c>
    </row>
    <row r="200" spans="1:63" ht="27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52"/>
        <v>3214.1764549999994</v>
      </c>
      <c r="T200" t="str">
        <f t="shared" ref="T200:T231" si="184">IF(AVERAGE(N199)&lt;S199,"熊",IF(AVERAGE(N199)&gt;S199,"牛",""))</f>
        <v>牛</v>
      </c>
      <c r="U200">
        <f t="shared" ref="U200:U231" si="185">MAX(H200,O200)</f>
        <v>3221.0304000000001</v>
      </c>
      <c r="V200">
        <f t="shared" ref="V200:V231" si="186">MIN(I200,P200)</f>
        <v>3206.6127000000001</v>
      </c>
      <c r="W200" s="40">
        <f t="shared" si="164"/>
        <v>4.4861620211790994E-3</v>
      </c>
      <c r="X200">
        <f t="shared" ref="X200:X231" si="187">IF(U200=H200,J200,Q200)</f>
        <v>1113</v>
      </c>
      <c r="Y200">
        <f t="shared" ref="Y200:Y231" si="188">IF(V200=I200,K200,R200)</f>
        <v>958</v>
      </c>
      <c r="Z200" s="25">
        <f t="shared" si="165"/>
        <v>4.47865665089225E-3</v>
      </c>
      <c r="AA200" s="25">
        <f t="shared" ref="AA200:AA210" si="189">LN(C200/N199)</f>
        <v>-3.4877889915826948E-3</v>
      </c>
      <c r="AB200" s="25">
        <f t="shared" ref="AB200:AB210" si="190">LN(N200/U200)</f>
        <v>-9.6366526868019522E-4</v>
      </c>
      <c r="AC200" s="25">
        <f t="shared" ref="AC200:AC210" si="191">LN(N200/V200)</f>
        <v>3.5224967524989772E-3</v>
      </c>
      <c r="AD200" s="25">
        <f t="shared" ref="AD200:AD210" si="192">LN(U200/C200)</f>
        <v>5.6783667543529727E-4</v>
      </c>
      <c r="AE200" s="25">
        <f t="shared" ref="AE200:AE210" si="193">LN(V200/C200)</f>
        <v>-3.9183253457437074E-3</v>
      </c>
      <c r="AF200" s="25">
        <f t="shared" si="166"/>
        <v>-3.9582859324484483E-4</v>
      </c>
      <c r="AG200" s="25">
        <f t="shared" ref="AG200:AG210" si="194">LN(N200/N199)</f>
        <v>-3.8836175848274922E-3</v>
      </c>
      <c r="AH200" s="25">
        <f t="shared" si="167"/>
        <v>-1.2218873783075865E-3</v>
      </c>
      <c r="AI200" s="25">
        <f t="shared" si="168"/>
        <v>-8.700038243744262E-4</v>
      </c>
      <c r="AJ200" s="25">
        <f t="shared" si="169"/>
        <v>-2.7740026433969267E-3</v>
      </c>
      <c r="AK200" s="25">
        <f t="shared" si="170"/>
        <v>-3.7973140751118535E-4</v>
      </c>
      <c r="AL200" s="25">
        <f t="shared" si="171"/>
        <v>4.4861620211790994E-3</v>
      </c>
      <c r="AM200" s="25">
        <f t="shared" si="172"/>
        <v>3.2247518835673765E-3</v>
      </c>
      <c r="AN200" s="25">
        <f t="shared" si="173"/>
        <v>0</v>
      </c>
      <c r="AO200" s="40">
        <f t="shared" ref="AO200:AO210" si="195">(C200-I200)/(H200-I200)</f>
        <v>0.87317672028131532</v>
      </c>
      <c r="AP200" s="40">
        <f t="shared" ref="AP200:AP210" si="196">(N199-I200)/(H200-I200)</f>
        <v>1.6532942147499179</v>
      </c>
      <c r="AQ200" s="25">
        <f t="shared" si="174"/>
        <v>-7.1673116719436791E-4</v>
      </c>
      <c r="AR200" s="25">
        <f t="shared" si="175"/>
        <v>-1.6097185733667814E-5</v>
      </c>
      <c r="AS200" s="25">
        <f t="shared" si="176"/>
        <v>-3.9582859324484483E-4</v>
      </c>
      <c r="AT200" s="28">
        <f t="shared" si="177"/>
        <v>0.78840591772611168</v>
      </c>
      <c r="AU200" s="28">
        <f t="shared" si="178"/>
        <v>0.8473382599803424</v>
      </c>
      <c r="AV200" s="40">
        <f t="shared" si="179"/>
        <v>0.78481311166136269</v>
      </c>
      <c r="AW200" s="25">
        <f t="shared" si="180"/>
        <v>-3.9582859324484483E-4</v>
      </c>
      <c r="AX200" s="28">
        <f t="shared" si="181"/>
        <v>-3.5928060647488973E-3</v>
      </c>
      <c r="AY200" s="25">
        <f t="shared" si="182"/>
        <v>3.5385939382324618E-3</v>
      </c>
      <c r="AZ200" s="25">
        <f t="shared" si="183"/>
        <v>2.7331277365981121E-3</v>
      </c>
      <c r="BA200" s="25">
        <f t="shared" si="159"/>
        <v>6.2876428199766979E-2</v>
      </c>
      <c r="BB200" s="25">
        <f t="shared" si="160"/>
        <v>-5.4238266246314764E-3</v>
      </c>
      <c r="BC200" s="25">
        <f t="shared" si="161"/>
        <v>-6.1931998662460947E-3</v>
      </c>
      <c r="BD200" s="39">
        <f t="shared" si="158"/>
        <v>1</v>
      </c>
      <c r="BE200" t="str">
        <f t="shared" si="163"/>
        <v/>
      </c>
      <c r="BF200" t="str">
        <f t="shared" ref="BF200:BF210" si="197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198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199">IF(B200=5,IF(AV199&lt;0.4,IF(AQ200&gt; -0.004,1,0),IF(AV199&lt;0.95,IF(AND(AO200&lt;0.85,AT200&lt;0.95,AQ200&gt;0,K200&lt;1115),0.5,0),0)),"")</f>
        <v>1</v>
      </c>
      <c r="BJ200" s="25">
        <f t="shared" si="162"/>
        <v>-1.6097185733667814E-5</v>
      </c>
      <c r="BK200" s="50" t="s">
        <v>211</v>
      </c>
    </row>
    <row r="201" spans="1:63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52"/>
        <v>3218.0643499999996</v>
      </c>
      <c r="T201" t="str">
        <f t="shared" si="184"/>
        <v>牛</v>
      </c>
      <c r="U201">
        <f t="shared" si="185"/>
        <v>3234.64</v>
      </c>
      <c r="V201">
        <f t="shared" si="186"/>
        <v>3215.35</v>
      </c>
      <c r="W201" s="40">
        <f t="shared" si="164"/>
        <v>5.9814224555881307E-3</v>
      </c>
      <c r="X201">
        <f t="shared" si="187"/>
        <v>1451</v>
      </c>
      <c r="Y201">
        <f t="shared" si="188"/>
        <v>934</v>
      </c>
      <c r="Z201" s="25">
        <f t="shared" si="165"/>
        <v>5.9956547820708365E-3</v>
      </c>
      <c r="AA201" s="25">
        <f t="shared" si="189"/>
        <v>-1.8582005912171057E-4</v>
      </c>
      <c r="AB201" s="25">
        <f t="shared" si="190"/>
        <v>-2.4116874198969041E-4</v>
      </c>
      <c r="AC201" s="25">
        <f t="shared" si="191"/>
        <v>5.7402537135983695E-3</v>
      </c>
      <c r="AD201" s="25">
        <f t="shared" si="192"/>
        <v>5.3658158771386693E-3</v>
      </c>
      <c r="AE201" s="25">
        <f t="shared" si="193"/>
        <v>-6.1560657844955181E-4</v>
      </c>
      <c r="AF201" s="25">
        <f t="shared" si="166"/>
        <v>5.1246471351489627E-3</v>
      </c>
      <c r="AG201" s="25">
        <f t="shared" si="194"/>
        <v>4.9388270760272832E-3</v>
      </c>
      <c r="AH201" s="25">
        <f t="shared" si="167"/>
        <v>3.7291053997643076E-4</v>
      </c>
      <c r="AI201" s="25">
        <f t="shared" si="168"/>
        <v>-1.9272494479955643E-4</v>
      </c>
      <c r="AJ201" s="25">
        <f t="shared" si="169"/>
        <v>8.5748643683812424E-4</v>
      </c>
      <c r="AK201" s="25">
        <f t="shared" si="170"/>
        <v>3.8157565500621287E-3</v>
      </c>
      <c r="AL201" s="25">
        <f t="shared" si="171"/>
        <v>5.848477650674525E-3</v>
      </c>
      <c r="AM201" s="25">
        <f t="shared" si="172"/>
        <v>3.3630548139242057E-3</v>
      </c>
      <c r="AN201" s="25">
        <f t="shared" si="173"/>
        <v>2.1052827193784296E-4</v>
      </c>
      <c r="AO201" s="40">
        <f t="shared" si="195"/>
        <v>0.10498409331919431</v>
      </c>
      <c r="AP201" s="40">
        <f t="shared" si="196"/>
        <v>0.13668610816544061</v>
      </c>
      <c r="AQ201" s="25">
        <f t="shared" si="174"/>
        <v>-3.0651910643516916E-4</v>
      </c>
      <c r="AR201" s="25">
        <f t="shared" si="175"/>
        <v>1.0983623131487266E-3</v>
      </c>
      <c r="AS201" s="25">
        <f t="shared" si="176"/>
        <v>5.1246471351489627E-3</v>
      </c>
      <c r="AT201" s="28">
        <f t="shared" si="177"/>
        <v>0.75715800636267783</v>
      </c>
      <c r="AU201" s="28">
        <f t="shared" si="178"/>
        <v>0.92817679558013177</v>
      </c>
      <c r="AV201" s="40">
        <f t="shared" si="179"/>
        <v>0.95956454121307688</v>
      </c>
      <c r="AW201" s="25">
        <f t="shared" si="180"/>
        <v>5.1246471351489627E-3</v>
      </c>
      <c r="AX201" s="28">
        <f t="shared" si="181"/>
        <v>0.18403317781234776</v>
      </c>
      <c r="AY201" s="25">
        <f t="shared" si="182"/>
        <v>4.4313631285116829E-3</v>
      </c>
      <c r="AZ201" s="25">
        <f t="shared" si="183"/>
        <v>3.1218860719344696E-3</v>
      </c>
      <c r="BA201" s="25">
        <f t="shared" si="159"/>
        <v>0.78481311166136269</v>
      </c>
      <c r="BB201" s="25">
        <f t="shared" si="160"/>
        <v>-1.6097185733667814E-5</v>
      </c>
      <c r="BC201" s="25">
        <f t="shared" si="161"/>
        <v>-3.9582859324484483E-4</v>
      </c>
      <c r="BD201" s="39">
        <f t="shared" ref="BD201:BD232" si="200">IF(AR200&lt;0,1,0)</f>
        <v>1</v>
      </c>
      <c r="BE201" t="str">
        <f t="shared" si="163"/>
        <v/>
      </c>
      <c r="BF201" t="str">
        <f t="shared" si="197"/>
        <v/>
      </c>
      <c r="BG201" t="str">
        <f t="shared" si="198"/>
        <v/>
      </c>
      <c r="BH201" t="str">
        <f t="shared" ref="BH201:BH210" si="201">IF(B201=4,IF(AV200&lt;0.6,IF(AQ201&gt;=0,IF(K201&lt;1018,2,1),0),IF(AV200&gt;0.85,IF(AQ201&lt;=0,-0.5,0),0)),"")</f>
        <v/>
      </c>
      <c r="BI201" t="str">
        <f t="shared" si="199"/>
        <v/>
      </c>
      <c r="BJ201" s="25" t="str">
        <f t="shared" si="162"/>
        <v/>
      </c>
      <c r="BK201" s="50" t="s">
        <v>212</v>
      </c>
    </row>
    <row r="202" spans="1:63">
      <c r="A202" s="1">
        <f>+A201+1</f>
        <v>42801</v>
      </c>
      <c r="B202" s="41">
        <f t="shared" ref="B202:B214" si="202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52"/>
        <v>3221.9083499999992</v>
      </c>
      <c r="T202" t="str">
        <f t="shared" si="184"/>
        <v>牛</v>
      </c>
      <c r="U202">
        <f t="shared" si="185"/>
        <v>3242.66</v>
      </c>
      <c r="V202">
        <f t="shared" si="186"/>
        <v>3226.87</v>
      </c>
      <c r="W202" s="40">
        <f t="shared" si="164"/>
        <v>4.8813534686918481E-3</v>
      </c>
      <c r="X202">
        <f t="shared" si="187"/>
        <v>1459</v>
      </c>
      <c r="Y202">
        <f t="shared" si="188"/>
        <v>1119</v>
      </c>
      <c r="Z202" s="25">
        <f t="shared" si="165"/>
        <v>4.8842654887513307E-3</v>
      </c>
      <c r="AA202" s="25">
        <f t="shared" si="189"/>
        <v>-3.1855555429756758E-4</v>
      </c>
      <c r="AB202" s="25">
        <f t="shared" si="190"/>
        <v>-7.7100170121168255E-5</v>
      </c>
      <c r="AC202" s="25">
        <f t="shared" si="191"/>
        <v>4.8042532985707034E-3</v>
      </c>
      <c r="AD202" s="25">
        <f t="shared" si="192"/>
        <v>3.0360660122489896E-3</v>
      </c>
      <c r="AE202" s="25">
        <f t="shared" si="193"/>
        <v>-1.845287456443028E-3</v>
      </c>
      <c r="AF202" s="25">
        <f t="shared" si="166"/>
        <v>2.9589658421277491E-3</v>
      </c>
      <c r="AG202" s="25">
        <f t="shared" si="194"/>
        <v>2.6404102878300464E-3</v>
      </c>
      <c r="AH202" s="25">
        <f t="shared" si="167"/>
        <v>-2.6605618273514757E-4</v>
      </c>
      <c r="AI202" s="25">
        <f t="shared" si="168"/>
        <v>6.4319223460050851E-4</v>
      </c>
      <c r="AJ202" s="25">
        <f t="shared" si="169"/>
        <v>7.4210817776732419E-4</v>
      </c>
      <c r="AK202" s="25">
        <f t="shared" si="170"/>
        <v>-3.3722274190849788E-4</v>
      </c>
      <c r="AL202" s="25">
        <f t="shared" si="171"/>
        <v>3.0632918113008894E-3</v>
      </c>
      <c r="AM202" s="25">
        <f t="shared" si="172"/>
        <v>4.4166147364377937E-3</v>
      </c>
      <c r="AN202" s="25">
        <f t="shared" si="173"/>
        <v>-8.3549815078535802E-5</v>
      </c>
      <c r="AO202" s="40">
        <f t="shared" si="195"/>
        <v>0.60202020202020012</v>
      </c>
      <c r="AP202" s="40">
        <f t="shared" si="196"/>
        <v>0.70606060606062349</v>
      </c>
      <c r="AQ202" s="25">
        <f t="shared" si="174"/>
        <v>-1.0522080905930101E-4</v>
      </c>
      <c r="AR202" s="25">
        <f t="shared" si="175"/>
        <v>3.3797383991148173E-3</v>
      </c>
      <c r="AS202" s="25">
        <f t="shared" si="176"/>
        <v>2.9589658421277491E-3</v>
      </c>
      <c r="AT202" s="28">
        <f t="shared" si="177"/>
        <v>0.49191919191917638</v>
      </c>
      <c r="AU202" s="28">
        <f t="shared" si="178"/>
        <v>0.98250524842547227</v>
      </c>
      <c r="AV202" s="40">
        <f t="shared" si="179"/>
        <v>0.98416719442685241</v>
      </c>
      <c r="AW202" s="25">
        <f t="shared" si="180"/>
        <v>2.9589658421277491E-3</v>
      </c>
      <c r="AX202" s="28">
        <f t="shared" si="181"/>
        <v>0.69284357188094237</v>
      </c>
      <c r="AY202" s="25">
        <f t="shared" si="182"/>
        <v>1.5080647145346699E-3</v>
      </c>
      <c r="AZ202" s="25">
        <f t="shared" si="183"/>
        <v>4.3395145663167158E-3</v>
      </c>
      <c r="BA202" s="25">
        <f t="shared" si="159"/>
        <v>0.95956454121307688</v>
      </c>
      <c r="BB202" s="25">
        <f t="shared" si="160"/>
        <v>1.0983623131487266E-3</v>
      </c>
      <c r="BC202" s="25">
        <f t="shared" si="161"/>
        <v>5.1246471351489627E-3</v>
      </c>
      <c r="BD202" s="39">
        <f t="shared" si="200"/>
        <v>0</v>
      </c>
      <c r="BE202">
        <f t="shared" si="163"/>
        <v>0</v>
      </c>
      <c r="BF202">
        <f t="shared" si="197"/>
        <v>0</v>
      </c>
      <c r="BG202" t="str">
        <f t="shared" si="198"/>
        <v/>
      </c>
      <c r="BH202" t="str">
        <f t="shared" si="201"/>
        <v/>
      </c>
      <c r="BI202" t="str">
        <f t="shared" si="199"/>
        <v/>
      </c>
      <c r="BJ202" s="25" t="str">
        <f t="shared" si="162"/>
        <v/>
      </c>
      <c r="BK202" s="50" t="s">
        <v>213</v>
      </c>
    </row>
    <row r="203" spans="1:63">
      <c r="A203" s="1">
        <f>+A202+1</f>
        <v>42802</v>
      </c>
      <c r="B203" s="41">
        <f t="shared" si="202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52"/>
        <v>3226.3462699999995</v>
      </c>
      <c r="T203" t="str">
        <f t="shared" si="184"/>
        <v>牛</v>
      </c>
      <c r="U203">
        <f t="shared" si="185"/>
        <v>3245.2312999999999</v>
      </c>
      <c r="V203">
        <f t="shared" si="186"/>
        <v>3230.6579999999999</v>
      </c>
      <c r="W203" s="40">
        <f t="shared" si="164"/>
        <v>4.500794848708729E-3</v>
      </c>
      <c r="X203">
        <f t="shared" si="187"/>
        <v>1301</v>
      </c>
      <c r="Y203">
        <f t="shared" si="188"/>
        <v>1418</v>
      </c>
      <c r="Z203" s="25">
        <f t="shared" si="165"/>
        <v>4.4982684970545847E-3</v>
      </c>
      <c r="AA203" s="25">
        <f t="shared" si="189"/>
        <v>-8.1833740525254727E-4</v>
      </c>
      <c r="AB203" s="25">
        <f t="shared" si="190"/>
        <v>-1.2480547691777104E-3</v>
      </c>
      <c r="AC203" s="25">
        <f t="shared" si="191"/>
        <v>3.2527400795309262E-3</v>
      </c>
      <c r="AD203" s="25">
        <f t="shared" si="192"/>
        <v>1.6880834492730681E-3</v>
      </c>
      <c r="AE203" s="25">
        <f t="shared" si="193"/>
        <v>-2.8127113994356428E-3</v>
      </c>
      <c r="AF203" s="25">
        <f t="shared" si="166"/>
        <v>4.40028680095308E-4</v>
      </c>
      <c r="AG203" s="25">
        <f t="shared" si="194"/>
        <v>-3.7830872515713415E-4</v>
      </c>
      <c r="AH203" s="25">
        <f t="shared" si="167"/>
        <v>-9.9796392907802476E-5</v>
      </c>
      <c r="AI203" s="25">
        <f t="shared" si="168"/>
        <v>-3.6237669617329385E-4</v>
      </c>
      <c r="AJ203" s="25">
        <f t="shared" si="169"/>
        <v>-2.8623520362990745E-4</v>
      </c>
      <c r="AK203" s="25">
        <f t="shared" si="170"/>
        <v>1.1790841935532201E-3</v>
      </c>
      <c r="AL203" s="25">
        <f t="shared" si="171"/>
        <v>2.4801954678848178E-3</v>
      </c>
      <c r="AM203" s="25">
        <f t="shared" si="172"/>
        <v>4.500794848708729E-3</v>
      </c>
      <c r="AN203" s="25">
        <f t="shared" si="173"/>
        <v>2.7866557226217237E-4</v>
      </c>
      <c r="AO203" s="40">
        <f t="shared" si="195"/>
        <v>0.40108495495946045</v>
      </c>
      <c r="AP203" s="40">
        <f t="shared" si="196"/>
        <v>0.73108794107398678</v>
      </c>
      <c r="AQ203" s="25">
        <f t="shared" si="174"/>
        <v>-4.6933729197815336E-4</v>
      </c>
      <c r="AR203" s="25">
        <f t="shared" si="175"/>
        <v>-1.0177210857198655E-3</v>
      </c>
      <c r="AS203" s="25">
        <f t="shared" si="176"/>
        <v>4.40028680095308E-4</v>
      </c>
      <c r="AT203" s="28">
        <f t="shared" si="177"/>
        <v>0.87664858408402691</v>
      </c>
      <c r="AU203" s="28">
        <f t="shared" si="178"/>
        <v>0.72225233818009149</v>
      </c>
      <c r="AV203" s="40">
        <f t="shared" si="179"/>
        <v>0.72225233818009149</v>
      </c>
      <c r="AW203" s="25">
        <f t="shared" si="180"/>
        <v>4.40028680095308E-4</v>
      </c>
      <c r="AX203" s="28">
        <f t="shared" si="181"/>
        <v>-0.2264620916333521</v>
      </c>
      <c r="AY203" s="25">
        <f t="shared" si="182"/>
        <v>2.1745922298729509E-3</v>
      </c>
      <c r="AZ203" s="25">
        <f t="shared" si="183"/>
        <v>3.2527400795309262E-3</v>
      </c>
      <c r="BA203" s="25">
        <f t="shared" si="159"/>
        <v>0.98416719442685241</v>
      </c>
      <c r="BB203" s="25">
        <f t="shared" si="160"/>
        <v>3.3797383991148173E-3</v>
      </c>
      <c r="BC203" s="25">
        <f t="shared" si="161"/>
        <v>2.9589658421277491E-3</v>
      </c>
      <c r="BD203" s="39">
        <f t="shared" si="200"/>
        <v>0</v>
      </c>
      <c r="BE203" t="str">
        <f t="shared" si="163"/>
        <v/>
      </c>
      <c r="BF203" t="str">
        <f t="shared" si="197"/>
        <v/>
      </c>
      <c r="BG203">
        <f t="shared" si="198"/>
        <v>0</v>
      </c>
      <c r="BH203" t="str">
        <f t="shared" si="201"/>
        <v/>
      </c>
      <c r="BI203" t="str">
        <f t="shared" si="199"/>
        <v/>
      </c>
      <c r="BJ203" s="25" t="str">
        <f t="shared" si="162"/>
        <v/>
      </c>
    </row>
    <row r="204" spans="1:63">
      <c r="A204" s="1">
        <f>+A203+1</f>
        <v>42803</v>
      </c>
      <c r="B204" s="41">
        <f t="shared" si="202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52"/>
        <v>3230.0331399999991</v>
      </c>
      <c r="T204" t="str">
        <f t="shared" si="184"/>
        <v>牛</v>
      </c>
      <c r="U204">
        <f t="shared" si="185"/>
        <v>3233.7006999999999</v>
      </c>
      <c r="V204">
        <f t="shared" si="186"/>
        <v>3205.5488</v>
      </c>
      <c r="W204" s="40">
        <f t="shared" si="164"/>
        <v>8.7439007805002952E-3</v>
      </c>
      <c r="X204">
        <f t="shared" si="187"/>
        <v>930</v>
      </c>
      <c r="Y204">
        <f t="shared" si="188"/>
        <v>1101</v>
      </c>
      <c r="Z204" s="25">
        <f t="shared" si="165"/>
        <v>8.7132184623825576E-3</v>
      </c>
      <c r="AA204" s="25">
        <f t="shared" si="189"/>
        <v>-3.1649599576607525E-3</v>
      </c>
      <c r="AB204" s="25">
        <f t="shared" si="190"/>
        <v>-5.3082769178615366E-3</v>
      </c>
      <c r="AC204" s="25">
        <f t="shared" si="191"/>
        <v>3.4356238626388714E-3</v>
      </c>
      <c r="AD204" s="25">
        <f t="shared" si="192"/>
        <v>8.5359716423270566E-4</v>
      </c>
      <c r="AE204" s="25">
        <f t="shared" si="193"/>
        <v>-7.8903036162674897E-3</v>
      </c>
      <c r="AF204" s="25">
        <f t="shared" si="166"/>
        <v>-4.4546797536287736E-3</v>
      </c>
      <c r="AG204" s="25">
        <f t="shared" si="194"/>
        <v>-7.6196397112895118E-3</v>
      </c>
      <c r="AH204" s="25">
        <f t="shared" si="167"/>
        <v>-2.7850249294565708E-4</v>
      </c>
      <c r="AI204" s="25">
        <f t="shared" si="168"/>
        <v>-1.3553529565306466E-3</v>
      </c>
      <c r="AJ204" s="25">
        <f t="shared" si="169"/>
        <v>-1.5918862774399873E-3</v>
      </c>
      <c r="AK204" s="25">
        <f t="shared" si="170"/>
        <v>-5.537750918236984E-3</v>
      </c>
      <c r="AL204" s="25">
        <f t="shared" si="171"/>
        <v>8.7439007805002952E-3</v>
      </c>
      <c r="AM204" s="25">
        <f t="shared" si="172"/>
        <v>3.6368018491186784E-3</v>
      </c>
      <c r="AN204" s="25">
        <f t="shared" si="173"/>
        <v>-4.5617464951909264E-4</v>
      </c>
      <c r="AO204" s="40">
        <f t="shared" si="195"/>
        <v>0.90199240548596094</v>
      </c>
      <c r="AP204" s="40">
        <f t="shared" si="196"/>
        <v>1.265804439487211</v>
      </c>
      <c r="AQ204" s="25">
        <f t="shared" si="174"/>
        <v>8.5560274603686335E-5</v>
      </c>
      <c r="AR204" s="25">
        <f t="shared" si="175"/>
        <v>1.5392458141273997E-3</v>
      </c>
      <c r="AS204" s="25">
        <f t="shared" si="176"/>
        <v>-4.4546797536287736E-3</v>
      </c>
      <c r="AT204" s="28">
        <f t="shared" si="177"/>
        <v>0.26819148973959028</v>
      </c>
      <c r="AU204" s="28">
        <f t="shared" si="178"/>
        <v>0.91559364405331189</v>
      </c>
      <c r="AV204" s="40">
        <f t="shared" si="179"/>
        <v>0.39187408309919453</v>
      </c>
      <c r="AW204" s="25">
        <f t="shared" si="180"/>
        <v>-4.4546797536287736E-3</v>
      </c>
      <c r="AX204" s="28">
        <f t="shared" si="181"/>
        <v>0.17573591835720845</v>
      </c>
      <c r="AY204" s="25">
        <f t="shared" si="182"/>
        <v>2.3525526980305552E-3</v>
      </c>
      <c r="AZ204" s="25">
        <f t="shared" si="183"/>
        <v>3.3303432210826118E-3</v>
      </c>
      <c r="BA204" s="25">
        <f t="shared" si="159"/>
        <v>0.72225233818009149</v>
      </c>
      <c r="BB204" s="25">
        <f t="shared" si="160"/>
        <v>-1.0177210857198655E-3</v>
      </c>
      <c r="BC204" s="25">
        <f t="shared" si="161"/>
        <v>4.40028680095308E-4</v>
      </c>
      <c r="BD204" s="39">
        <f t="shared" si="200"/>
        <v>1</v>
      </c>
      <c r="BE204" t="str">
        <f t="shared" si="163"/>
        <v/>
      </c>
      <c r="BF204" t="str">
        <f t="shared" si="197"/>
        <v/>
      </c>
      <c r="BG204" t="str">
        <f t="shared" si="198"/>
        <v/>
      </c>
      <c r="BH204">
        <f t="shared" si="201"/>
        <v>0</v>
      </c>
      <c r="BI204" t="str">
        <f t="shared" si="199"/>
        <v/>
      </c>
      <c r="BJ204" s="25" t="str">
        <f t="shared" si="162"/>
        <v/>
      </c>
    </row>
    <row r="205" spans="1:63">
      <c r="A205" s="1">
        <f>+A204+1</f>
        <v>42804</v>
      </c>
      <c r="B205" s="41">
        <f t="shared" si="202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52"/>
        <v>3231.7036799999996</v>
      </c>
      <c r="T205" t="str">
        <f t="shared" si="184"/>
        <v>熊</v>
      </c>
      <c r="U205">
        <f t="shared" si="185"/>
        <v>3221.9443000000001</v>
      </c>
      <c r="V205">
        <f t="shared" si="186"/>
        <v>3208.5803000000001</v>
      </c>
      <c r="W205" s="40">
        <f t="shared" si="164"/>
        <v>4.1564320396561532E-3</v>
      </c>
      <c r="X205">
        <f t="shared" si="187"/>
        <v>943</v>
      </c>
      <c r="Y205">
        <f t="shared" si="188"/>
        <v>1429</v>
      </c>
      <c r="Z205" s="25">
        <f t="shared" si="165"/>
        <v>4.1570643684898604E-3</v>
      </c>
      <c r="AA205" s="25">
        <f t="shared" si="189"/>
        <v>-5.6355204335873819E-4</v>
      </c>
      <c r="AB205" s="25">
        <f t="shared" si="190"/>
        <v>-2.9580842038264797E-3</v>
      </c>
      <c r="AC205" s="25">
        <f t="shared" si="191"/>
        <v>1.1983478358297203E-3</v>
      </c>
      <c r="AD205" s="25">
        <f t="shared" si="192"/>
        <v>2.2296172236140567E-3</v>
      </c>
      <c r="AE205" s="25">
        <f t="shared" si="193"/>
        <v>-1.9268148160422867E-3</v>
      </c>
      <c r="AF205" s="25">
        <f t="shared" si="166"/>
        <v>-7.2846698021252919E-4</v>
      </c>
      <c r="AG205" s="25">
        <f t="shared" si="194"/>
        <v>-1.2920190235711428E-3</v>
      </c>
      <c r="AH205" s="25">
        <f t="shared" si="167"/>
        <v>3.3654612712449649E-4</v>
      </c>
      <c r="AI205" s="25">
        <f t="shared" si="168"/>
        <v>1.0405287276950659E-3</v>
      </c>
      <c r="AJ205" s="25">
        <f t="shared" si="169"/>
        <v>1.5099790570881982E-3</v>
      </c>
      <c r="AK205" s="25">
        <f t="shared" si="170"/>
        <v>5.6364531009255752E-4</v>
      </c>
      <c r="AL205" s="25">
        <f t="shared" si="171"/>
        <v>3.2074282992367049E-3</v>
      </c>
      <c r="AM205" s="25">
        <f t="shared" si="172"/>
        <v>3.3064286404744596E-3</v>
      </c>
      <c r="AN205" s="25">
        <f t="shared" si="173"/>
        <v>1.7942908957386197E-4</v>
      </c>
      <c r="AO205" s="40">
        <f t="shared" si="195"/>
        <v>0.30451849267271291</v>
      </c>
      <c r="AP205" s="40">
        <f t="shared" si="196"/>
        <v>0.48016011475539183</v>
      </c>
      <c r="AQ205" s="25">
        <f t="shared" si="174"/>
        <v>-4.0945129808487327E-4</v>
      </c>
      <c r="AR205" s="25">
        <f t="shared" si="175"/>
        <v>-1.4715413798790308E-3</v>
      </c>
      <c r="AS205" s="25">
        <f t="shared" si="176"/>
        <v>-7.2846698021252919E-4</v>
      </c>
      <c r="AT205" s="28">
        <f t="shared" si="177"/>
        <v>0.48018919128478799</v>
      </c>
      <c r="AU205" s="28">
        <f t="shared" si="178"/>
        <v>0.36204771091139687</v>
      </c>
      <c r="AV205" s="40">
        <f t="shared" si="179"/>
        <v>0.28788536366356593</v>
      </c>
      <c r="AW205" s="25">
        <f t="shared" si="180"/>
        <v>-7.2846698021252919E-4</v>
      </c>
      <c r="AX205" s="28">
        <f t="shared" si="181"/>
        <v>-0.35398832684825338</v>
      </c>
      <c r="AY205" s="25">
        <f t="shared" si="182"/>
        <v>1.5414563857153239E-3</v>
      </c>
      <c r="AZ205" s="25">
        <f t="shared" si="183"/>
        <v>1.1983478358297203E-3</v>
      </c>
      <c r="BA205" s="25">
        <f t="shared" si="159"/>
        <v>0.39187408309919453</v>
      </c>
      <c r="BB205" s="25">
        <f t="shared" si="160"/>
        <v>1.5392458141273997E-3</v>
      </c>
      <c r="BC205" s="25">
        <f t="shared" si="161"/>
        <v>-4.4546797536287736E-3</v>
      </c>
      <c r="BD205" s="39">
        <f t="shared" si="200"/>
        <v>0</v>
      </c>
      <c r="BE205" t="str">
        <f t="shared" si="163"/>
        <v/>
      </c>
      <c r="BF205" t="str">
        <f t="shared" si="197"/>
        <v/>
      </c>
      <c r="BG205" t="str">
        <f t="shared" si="198"/>
        <v/>
      </c>
      <c r="BH205" t="str">
        <f t="shared" si="201"/>
        <v/>
      </c>
      <c r="BI205">
        <f t="shared" si="199"/>
        <v>1</v>
      </c>
      <c r="BJ205" s="25">
        <f t="shared" si="162"/>
        <v>-1.4715413798790308E-3</v>
      </c>
    </row>
    <row r="206" spans="1:63">
      <c r="A206" s="1">
        <v>42807</v>
      </c>
      <c r="B206" s="41">
        <f t="shared" si="202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52"/>
        <v>3232.4900599999996</v>
      </c>
      <c r="T206" t="str">
        <f t="shared" si="184"/>
        <v>熊</v>
      </c>
      <c r="U206">
        <f t="shared" si="185"/>
        <v>3237.0428000000002</v>
      </c>
      <c r="V206">
        <f t="shared" si="186"/>
        <v>3193.1565000000001</v>
      </c>
      <c r="W206" s="40">
        <f t="shared" si="164"/>
        <v>1.3650270977458998E-2</v>
      </c>
      <c r="X206">
        <f t="shared" si="187"/>
        <v>1500</v>
      </c>
      <c r="Y206">
        <f t="shared" si="188"/>
        <v>945</v>
      </c>
      <c r="Z206" s="25">
        <f t="shared" si="165"/>
        <v>1.368390915986876E-2</v>
      </c>
      <c r="AA206" s="25">
        <f t="shared" si="189"/>
        <v>-1.6453431929963815E-3</v>
      </c>
      <c r="AB206" s="25">
        <f t="shared" si="190"/>
        <v>-6.1784977897566246E-6</v>
      </c>
      <c r="AC206" s="25">
        <f t="shared" si="191"/>
        <v>1.3644092479669162E-2</v>
      </c>
      <c r="AD206" s="25">
        <f t="shared" si="192"/>
        <v>9.278627166542151E-3</v>
      </c>
      <c r="AE206" s="25">
        <f t="shared" si="193"/>
        <v>-4.3716438109168143E-3</v>
      </c>
      <c r="AF206" s="25">
        <f t="shared" si="166"/>
        <v>9.2724486687524414E-3</v>
      </c>
      <c r="AG206" s="25">
        <f t="shared" si="194"/>
        <v>7.6271054757558673E-3</v>
      </c>
      <c r="AH206" s="25">
        <f t="shared" si="167"/>
        <v>-9.4761623372086138E-5</v>
      </c>
      <c r="AI206" s="25">
        <f t="shared" si="168"/>
        <v>-1.0600705281293013E-3</v>
      </c>
      <c r="AJ206" s="25">
        <f t="shared" si="169"/>
        <v>-2.2240725260803014E-3</v>
      </c>
      <c r="AK206" s="25">
        <f t="shared" si="170"/>
        <v>6.0192399672439733E-3</v>
      </c>
      <c r="AL206" s="25">
        <f t="shared" si="171"/>
        <v>1.0527089826914615E-2</v>
      </c>
      <c r="AM206" s="25">
        <f t="shared" si="172"/>
        <v>4.1552763042929106E-3</v>
      </c>
      <c r="AN206" s="25">
        <f t="shared" si="173"/>
        <v>1.3369593442641333E-4</v>
      </c>
      <c r="AO206" s="40">
        <f t="shared" si="195"/>
        <v>0.41399790484194843</v>
      </c>
      <c r="AP206" s="40">
        <f t="shared" si="196"/>
        <v>0.57028249122578611</v>
      </c>
      <c r="AQ206" s="25">
        <f t="shared" si="174"/>
        <v>-5.5954084208527236E-4</v>
      </c>
      <c r="AR206" s="25">
        <f t="shared" si="175"/>
        <v>3.119512767082088E-3</v>
      </c>
      <c r="AS206" s="25">
        <f t="shared" si="176"/>
        <v>9.2724486687524414E-3</v>
      </c>
      <c r="AT206" s="28">
        <f t="shared" si="177"/>
        <v>0.98699404004474545</v>
      </c>
      <c r="AU206" s="28">
        <f t="shared" si="178"/>
        <v>0.99851000901444686</v>
      </c>
      <c r="AV206" s="40">
        <f t="shared" si="179"/>
        <v>0.99954427691557546</v>
      </c>
      <c r="AW206" s="25">
        <f t="shared" si="180"/>
        <v>9.2724486687524414E-3</v>
      </c>
      <c r="AX206" s="28">
        <f t="shared" si="181"/>
        <v>0.22973456408948253</v>
      </c>
      <c r="AY206" s="25">
        <f t="shared" si="182"/>
        <v>1.0390883778160696E-2</v>
      </c>
      <c r="AZ206" s="25">
        <f t="shared" si="183"/>
        <v>4.1490978065031785E-3</v>
      </c>
      <c r="BA206" s="25">
        <f t="shared" si="159"/>
        <v>0.28788536366356593</v>
      </c>
      <c r="BB206" s="25">
        <f t="shared" si="160"/>
        <v>-1.4715413798790308E-3</v>
      </c>
      <c r="BC206" s="25">
        <f t="shared" si="161"/>
        <v>-7.2846698021252919E-4</v>
      </c>
      <c r="BD206" s="39">
        <f t="shared" si="200"/>
        <v>1</v>
      </c>
      <c r="BE206" t="str">
        <f t="shared" si="163"/>
        <v/>
      </c>
      <c r="BF206" t="str">
        <f t="shared" si="197"/>
        <v/>
      </c>
      <c r="BG206" t="str">
        <f t="shared" si="198"/>
        <v/>
      </c>
      <c r="BH206" t="str">
        <f t="shared" si="201"/>
        <v/>
      </c>
      <c r="BI206" t="str">
        <f t="shared" si="199"/>
        <v/>
      </c>
      <c r="BJ206" s="25" t="str">
        <f t="shared" si="162"/>
        <v/>
      </c>
    </row>
    <row r="207" spans="1:63">
      <c r="A207" s="1">
        <v>42808</v>
      </c>
      <c r="B207" s="41">
        <f t="shared" si="202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52"/>
        <v>3233.4996999999994</v>
      </c>
      <c r="T207" t="str">
        <f t="shared" si="184"/>
        <v>牛</v>
      </c>
      <c r="U207">
        <f t="shared" si="185"/>
        <v>3246.0938999999998</v>
      </c>
      <c r="V207">
        <f t="shared" si="186"/>
        <v>3231.6268</v>
      </c>
      <c r="W207" s="40">
        <f t="shared" si="164"/>
        <v>4.466732890659731E-3</v>
      </c>
      <c r="X207">
        <f t="shared" si="187"/>
        <v>1046</v>
      </c>
      <c r="Y207">
        <f t="shared" si="188"/>
        <v>1432</v>
      </c>
      <c r="Z207" s="25">
        <f t="shared" si="165"/>
        <v>4.4720343526030342E-3</v>
      </c>
      <c r="AA207" s="25">
        <f t="shared" si="189"/>
        <v>-6.203301038526809E-4</v>
      </c>
      <c r="AB207" s="25">
        <f t="shared" si="190"/>
        <v>-2.3049290524373499E-3</v>
      </c>
      <c r="AC207" s="25">
        <f t="shared" si="191"/>
        <v>2.1618038382223907E-3</v>
      </c>
      <c r="AD207" s="25">
        <f t="shared" si="192"/>
        <v>3.4187082109711068E-3</v>
      </c>
      <c r="AE207" s="25">
        <f t="shared" si="193"/>
        <v>-1.0480246796885108E-3</v>
      </c>
      <c r="AF207" s="25">
        <f t="shared" si="166"/>
        <v>1.1137791585338484E-3</v>
      </c>
      <c r="AG207" s="25">
        <f t="shared" si="194"/>
        <v>4.9344905468127781E-4</v>
      </c>
      <c r="AH207" s="25">
        <f t="shared" si="167"/>
        <v>7.6967305223009312E-5</v>
      </c>
      <c r="AI207" s="25">
        <f t="shared" si="168"/>
        <v>1.3135973653851331E-3</v>
      </c>
      <c r="AJ207" s="25">
        <f t="shared" si="169"/>
        <v>2.2860294797300194E-3</v>
      </c>
      <c r="AK207" s="25">
        <f t="shared" si="170"/>
        <v>1.815066459945175E-3</v>
      </c>
      <c r="AL207" s="25">
        <f t="shared" si="171"/>
        <v>3.5225461833928531E-3</v>
      </c>
      <c r="AM207" s="25">
        <f t="shared" si="172"/>
        <v>3.1820573253976427E-3</v>
      </c>
      <c r="AN207" s="25">
        <f t="shared" si="173"/>
        <v>1.2415562083780478E-4</v>
      </c>
      <c r="AO207" s="40">
        <f t="shared" si="195"/>
        <v>2.942774039809783E-2</v>
      </c>
      <c r="AP207" s="40">
        <f t="shared" si="196"/>
        <v>0.20529331370900522</v>
      </c>
      <c r="AQ207" s="25">
        <f t="shared" si="174"/>
        <v>-1.5532036136146034E-4</v>
      </c>
      <c r="AR207" s="25">
        <f t="shared" si="175"/>
        <v>-8.2544292224905286E-4</v>
      </c>
      <c r="AS207" s="25">
        <f t="shared" si="176"/>
        <v>1.1137791585338484E-3</v>
      </c>
      <c r="AT207" s="28">
        <f t="shared" si="177"/>
        <v>0.54431244743481244</v>
      </c>
      <c r="AU207" s="28">
        <f t="shared" si="178"/>
        <v>0.6790263699561252</v>
      </c>
      <c r="AV207" s="40">
        <f t="shared" si="179"/>
        <v>0.48342100351833223</v>
      </c>
      <c r="AW207" s="25">
        <f t="shared" si="180"/>
        <v>1.1137791585338484E-3</v>
      </c>
      <c r="AX207" s="28">
        <f t="shared" si="181"/>
        <v>-0.18486082214126578</v>
      </c>
      <c r="AY207" s="25">
        <f t="shared" si="182"/>
        <v>1.9189044323670455E-3</v>
      </c>
      <c r="AZ207" s="25">
        <f t="shared" si="183"/>
        <v>2.1618038382223907E-3</v>
      </c>
      <c r="BA207" s="25">
        <f t="shared" ref="BA207:BA238" si="203">AV206</f>
        <v>0.99954427691557546</v>
      </c>
      <c r="BB207" s="25">
        <f t="shared" ref="BB207:BB238" si="204">AR206</f>
        <v>3.119512767082088E-3</v>
      </c>
      <c r="BC207" s="25">
        <f t="shared" ref="BC207:BC238" si="205">AS206</f>
        <v>9.2724486687524414E-3</v>
      </c>
      <c r="BD207" s="39">
        <f t="shared" si="200"/>
        <v>0</v>
      </c>
      <c r="BE207">
        <f t="shared" si="163"/>
        <v>0</v>
      </c>
      <c r="BF207">
        <f t="shared" si="197"/>
        <v>0</v>
      </c>
      <c r="BG207" t="str">
        <f t="shared" si="198"/>
        <v/>
      </c>
      <c r="BH207" t="str">
        <f t="shared" si="201"/>
        <v/>
      </c>
      <c r="BI207" t="str">
        <f t="shared" si="199"/>
        <v/>
      </c>
      <c r="BJ207" s="25" t="str">
        <f t="shared" si="162"/>
        <v/>
      </c>
    </row>
    <row r="208" spans="1:63">
      <c r="A208" s="1">
        <v>42809</v>
      </c>
      <c r="B208" s="41">
        <f t="shared" si="202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52"/>
        <v>3234.5347250000004</v>
      </c>
      <c r="T208" t="str">
        <f t="shared" si="184"/>
        <v>牛</v>
      </c>
      <c r="U208">
        <f t="shared" si="185"/>
        <v>3243.56</v>
      </c>
      <c r="V208">
        <f t="shared" si="186"/>
        <v>3227.74</v>
      </c>
      <c r="W208" s="40">
        <f t="shared" si="164"/>
        <v>4.8892901008927396E-3</v>
      </c>
      <c r="X208">
        <f t="shared" si="187"/>
        <v>1118</v>
      </c>
      <c r="Y208">
        <f t="shared" si="188"/>
        <v>945</v>
      </c>
      <c r="Z208" s="25">
        <f t="shared" si="165"/>
        <v>4.8926069677898733E-3</v>
      </c>
      <c r="AA208" s="25">
        <f t="shared" si="189"/>
        <v>-1.5977888683361692E-3</v>
      </c>
      <c r="AB208" s="25">
        <f t="shared" si="190"/>
        <v>-5.5509983970575608E-4</v>
      </c>
      <c r="AC208" s="25">
        <f t="shared" si="191"/>
        <v>4.3341902611870433E-3</v>
      </c>
      <c r="AD208" s="25">
        <f t="shared" si="192"/>
        <v>3.1218133709125166E-3</v>
      </c>
      <c r="AE208" s="25">
        <f t="shared" si="193"/>
        <v>-1.7674767299803488E-3</v>
      </c>
      <c r="AF208" s="25">
        <f t="shared" si="166"/>
        <v>2.5667135312068324E-3</v>
      </c>
      <c r="AG208" s="25">
        <f t="shared" si="194"/>
        <v>9.689246628705265E-4</v>
      </c>
      <c r="AH208" s="25">
        <f t="shared" si="167"/>
        <v>-3.6809569666315374E-4</v>
      </c>
      <c r="AI208" s="25">
        <f t="shared" si="168"/>
        <v>9.2775853604492271E-5</v>
      </c>
      <c r="AJ208" s="25">
        <f t="shared" si="169"/>
        <v>-8.969150766610866E-5</v>
      </c>
      <c r="AK208" s="25">
        <f t="shared" si="170"/>
        <v>2.4926769324142414E-3</v>
      </c>
      <c r="AL208" s="25">
        <f t="shared" si="171"/>
        <v>4.8892901008927396E-3</v>
      </c>
      <c r="AM208" s="25">
        <f t="shared" si="172"/>
        <v>3.0204318890813286E-3</v>
      </c>
      <c r="AN208" s="25">
        <f t="shared" si="173"/>
        <v>8.0206067940675666E-5</v>
      </c>
      <c r="AO208" s="40">
        <f t="shared" si="195"/>
        <v>0.36093552465233736</v>
      </c>
      <c r="AP208" s="40">
        <f t="shared" si="196"/>
        <v>0.68776864728192788</v>
      </c>
      <c r="AQ208" s="25">
        <f t="shared" si="174"/>
        <v>-3.6097797655030558E-4</v>
      </c>
      <c r="AR208" s="25">
        <f t="shared" si="175"/>
        <v>-6.1694691480241661E-6</v>
      </c>
      <c r="AS208" s="25">
        <f t="shared" si="176"/>
        <v>2.5667135312068324E-3</v>
      </c>
      <c r="AT208" s="28">
        <f t="shared" si="177"/>
        <v>0.87104930467762687</v>
      </c>
      <c r="AU208" s="28">
        <f t="shared" si="178"/>
        <v>0.88957055214724901</v>
      </c>
      <c r="AV208" s="40">
        <f t="shared" si="179"/>
        <v>0.88621997471556835</v>
      </c>
      <c r="AW208" s="25">
        <f t="shared" si="180"/>
        <v>2.5667135312068324E-3</v>
      </c>
      <c r="AX208" s="28">
        <f t="shared" si="181"/>
        <v>-1.2642225031593934E-3</v>
      </c>
      <c r="AY208" s="25">
        <f t="shared" si="182"/>
        <v>4.2601536623945403E-3</v>
      </c>
      <c r="AZ208" s="25">
        <f t="shared" si="183"/>
        <v>2.6873350103269297E-3</v>
      </c>
      <c r="BA208" s="25">
        <f t="shared" si="203"/>
        <v>0.48342100351833223</v>
      </c>
      <c r="BB208" s="25">
        <f t="shared" si="204"/>
        <v>-8.2544292224905286E-4</v>
      </c>
      <c r="BC208" s="25">
        <f t="shared" si="205"/>
        <v>1.1137791585338484E-3</v>
      </c>
      <c r="BD208" s="39">
        <f t="shared" si="200"/>
        <v>1</v>
      </c>
      <c r="BE208" t="str">
        <f t="shared" si="163"/>
        <v/>
      </c>
      <c r="BF208" t="str">
        <f t="shared" si="197"/>
        <v/>
      </c>
      <c r="BG208">
        <f t="shared" si="198"/>
        <v>0.5</v>
      </c>
      <c r="BH208" t="str">
        <f t="shared" si="201"/>
        <v/>
      </c>
      <c r="BI208" t="str">
        <f t="shared" si="199"/>
        <v/>
      </c>
      <c r="BJ208" s="25">
        <f t="shared" si="162"/>
        <v>-3.0847345740120831E-6</v>
      </c>
    </row>
    <row r="209" spans="1:63">
      <c r="A209" s="1">
        <v>42810</v>
      </c>
      <c r="B209" s="41">
        <f t="shared" si="202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52"/>
        <v>3235.9737250000007</v>
      </c>
      <c r="T209" t="str">
        <f t="shared" si="184"/>
        <v>牛</v>
      </c>
      <c r="U209">
        <f t="shared" si="185"/>
        <v>3269.5644000000002</v>
      </c>
      <c r="V209">
        <f t="shared" si="186"/>
        <v>3247.1628000000001</v>
      </c>
      <c r="W209" s="40">
        <f t="shared" si="164"/>
        <v>6.87513457333411E-3</v>
      </c>
      <c r="X209">
        <f t="shared" si="187"/>
        <v>1500</v>
      </c>
      <c r="Y209">
        <f t="shared" si="188"/>
        <v>930</v>
      </c>
      <c r="Z209" s="25">
        <f t="shared" si="165"/>
        <v>6.8854905750668017E-3</v>
      </c>
      <c r="AA209" s="25">
        <f t="shared" si="189"/>
        <v>3.599610310549361E-3</v>
      </c>
      <c r="AB209" s="25">
        <f t="shared" si="190"/>
        <v>-7.1569422936993011E-6</v>
      </c>
      <c r="AC209" s="25">
        <f t="shared" si="191"/>
        <v>6.8679776310405184E-3</v>
      </c>
      <c r="AD209" s="25">
        <f t="shared" si="192"/>
        <v>4.9407625203597896E-3</v>
      </c>
      <c r="AE209" s="25">
        <f t="shared" si="193"/>
        <v>-1.9343720529743258E-3</v>
      </c>
      <c r="AF209" s="25">
        <f t="shared" si="166"/>
        <v>4.9336055780660774E-3</v>
      </c>
      <c r="AG209" s="25">
        <f t="shared" si="194"/>
        <v>8.5332158886154176E-3</v>
      </c>
      <c r="AH209" s="25">
        <f t="shared" si="167"/>
        <v>5.2579573753967291E-4</v>
      </c>
      <c r="AI209" s="25">
        <f t="shared" si="168"/>
        <v>1.7651196540465332E-3</v>
      </c>
      <c r="AJ209" s="25">
        <f t="shared" si="169"/>
        <v>3.1160730649277884E-3</v>
      </c>
      <c r="AK209" s="25">
        <f t="shared" si="170"/>
        <v>2.9468592944578748E-3</v>
      </c>
      <c r="AL209" s="25">
        <f t="shared" si="171"/>
        <v>6.1778567829415161E-3</v>
      </c>
      <c r="AM209" s="25">
        <f t="shared" si="172"/>
        <v>2.3795368946699321E-3</v>
      </c>
      <c r="AN209" s="25">
        <f t="shared" si="173"/>
        <v>6.272526875844151E-4</v>
      </c>
      <c r="AO209" s="40">
        <f t="shared" si="195"/>
        <v>0.31244968344050533</v>
      </c>
      <c r="AP209" s="40">
        <f t="shared" si="196"/>
        <v>-0.26849413097710051</v>
      </c>
      <c r="AQ209" s="25">
        <f t="shared" si="174"/>
        <v>-2.451068242451155E-4</v>
      </c>
      <c r="AR209" s="25">
        <f t="shared" si="175"/>
        <v>1.3594935960238612E-3</v>
      </c>
      <c r="AS209" s="25">
        <f t="shared" si="176"/>
        <v>4.9336055780660774E-3</v>
      </c>
      <c r="AT209" s="28">
        <f t="shared" si="177"/>
        <v>0.78960472304770779</v>
      </c>
      <c r="AU209" s="28">
        <f t="shared" si="178"/>
        <v>0.99698872702938734</v>
      </c>
      <c r="AV209" s="40">
        <f t="shared" si="179"/>
        <v>0.998955431754873</v>
      </c>
      <c r="AW209" s="25">
        <f t="shared" si="180"/>
        <v>4.9336055780660774E-3</v>
      </c>
      <c r="AX209" s="28">
        <f t="shared" si="181"/>
        <v>0.19828494393258655</v>
      </c>
      <c r="AY209" s="25">
        <f t="shared" si="182"/>
        <v>4.8812313474322537E-3</v>
      </c>
      <c r="AZ209" s="25">
        <f t="shared" si="183"/>
        <v>2.3723799523762508E-3</v>
      </c>
      <c r="BA209" s="25">
        <f t="shared" si="203"/>
        <v>0.88621997471556835</v>
      </c>
      <c r="BB209" s="25">
        <f t="shared" si="204"/>
        <v>-6.1694691480241661E-6</v>
      </c>
      <c r="BC209" s="25">
        <f t="shared" si="205"/>
        <v>2.5667135312068324E-3</v>
      </c>
      <c r="BD209" s="39">
        <f t="shared" si="200"/>
        <v>1</v>
      </c>
      <c r="BE209" t="str">
        <f t="shared" si="163"/>
        <v/>
      </c>
      <c r="BF209" t="str">
        <f t="shared" si="197"/>
        <v/>
      </c>
      <c r="BG209" t="str">
        <f t="shared" si="198"/>
        <v/>
      </c>
      <c r="BH209">
        <f t="shared" si="201"/>
        <v>-0.5</v>
      </c>
      <c r="BI209" t="str">
        <f t="shared" si="199"/>
        <v/>
      </c>
      <c r="BJ209" s="25">
        <f t="shared" si="162"/>
        <v>-6.7974679801193058E-4</v>
      </c>
    </row>
    <row r="210" spans="1:63">
      <c r="A210" s="1">
        <v>42811</v>
      </c>
      <c r="B210" s="41">
        <f t="shared" si="202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52"/>
        <v>3238.0091350000002</v>
      </c>
      <c r="T210" t="str">
        <f t="shared" si="184"/>
        <v>牛</v>
      </c>
      <c r="U210">
        <f t="shared" si="185"/>
        <v>3274.1903000000002</v>
      </c>
      <c r="V210">
        <f t="shared" si="186"/>
        <v>3232.5209</v>
      </c>
      <c r="W210" s="40">
        <f t="shared" si="164"/>
        <v>1.2808304651090124E-2</v>
      </c>
      <c r="X210">
        <f t="shared" si="187"/>
        <v>930</v>
      </c>
      <c r="Y210">
        <f t="shared" si="188"/>
        <v>1453</v>
      </c>
      <c r="Z210" s="25">
        <f t="shared" si="165"/>
        <v>1.2735666323794147E-2</v>
      </c>
      <c r="AA210" s="25">
        <f t="shared" si="189"/>
        <v>7.1100909031228962E-4</v>
      </c>
      <c r="AB210" s="25">
        <f t="shared" si="190"/>
        <v>-1.1327493155116634E-2</v>
      </c>
      <c r="AC210" s="25">
        <f t="shared" si="191"/>
        <v>1.4808114959733764E-3</v>
      </c>
      <c r="AD210" s="25">
        <f t="shared" si="192"/>
        <v>7.099847033453791E-4</v>
      </c>
      <c r="AE210" s="25">
        <f t="shared" si="193"/>
        <v>-1.2098319947744686E-2</v>
      </c>
      <c r="AF210" s="25">
        <f t="shared" si="166"/>
        <v>-1.0617508451771396E-2</v>
      </c>
      <c r="AG210" s="25">
        <f t="shared" si="194"/>
        <v>-9.9064993614591569E-3</v>
      </c>
      <c r="AH210" s="25">
        <f t="shared" si="167"/>
        <v>4.5141409752407609E-5</v>
      </c>
      <c r="AI210" s="25">
        <f t="shared" si="168"/>
        <v>-1.590961629621739E-4</v>
      </c>
      <c r="AJ210" s="25">
        <f t="shared" si="169"/>
        <v>-9.0053377178922836E-4</v>
      </c>
      <c r="AK210" s="25">
        <f t="shared" si="170"/>
        <v>-3.2782394819491482E-3</v>
      </c>
      <c r="AL210" s="25">
        <f t="shared" si="171"/>
        <v>4.369357756337274E-3</v>
      </c>
      <c r="AM210" s="25">
        <f t="shared" si="172"/>
        <v>9.7004841940603707E-3</v>
      </c>
      <c r="AN210" s="25">
        <f t="shared" si="173"/>
        <v>0</v>
      </c>
      <c r="AO210" s="40">
        <f t="shared" si="195"/>
        <v>0.83721076855178922</v>
      </c>
      <c r="AP210" s="40">
        <f t="shared" si="196"/>
        <v>0.67430244695234798</v>
      </c>
      <c r="AQ210" s="25">
        <f t="shared" si="174"/>
        <v>5.2988602007705658E-4</v>
      </c>
      <c r="AR210" s="25">
        <f t="shared" si="175"/>
        <v>-7.3392689698221882E-3</v>
      </c>
      <c r="AS210" s="25">
        <f t="shared" si="176"/>
        <v>-1.0617508451771396E-2</v>
      </c>
      <c r="AT210" s="28">
        <f t="shared" si="177"/>
        <v>8.7054900559738482E-2</v>
      </c>
      <c r="AU210" s="28">
        <f t="shared" si="178"/>
        <v>0.15202668393125068</v>
      </c>
      <c r="AV210" s="40">
        <f t="shared" si="179"/>
        <v>0.11495965864639496</v>
      </c>
      <c r="AW210" s="25">
        <f t="shared" si="180"/>
        <v>-1.0617508451771396E-2</v>
      </c>
      <c r="AX210" s="28">
        <f t="shared" si="181"/>
        <v>-0.57228805790339854</v>
      </c>
      <c r="AY210" s="25">
        <f t="shared" si="182"/>
        <v>3.8113357104258206E-4</v>
      </c>
      <c r="AZ210" s="25">
        <f t="shared" si="183"/>
        <v>1.4808114959733764E-3</v>
      </c>
      <c r="BA210" s="25">
        <f t="shared" si="203"/>
        <v>0.998955431754873</v>
      </c>
      <c r="BB210" s="25">
        <f t="shared" si="204"/>
        <v>1.3594935960238612E-3</v>
      </c>
      <c r="BC210" s="25">
        <f t="shared" si="205"/>
        <v>4.9336055780660774E-3</v>
      </c>
      <c r="BD210" s="39">
        <f t="shared" si="200"/>
        <v>0</v>
      </c>
      <c r="BE210" t="str">
        <f t="shared" si="163"/>
        <v/>
      </c>
      <c r="BF210" t="str">
        <f t="shared" si="197"/>
        <v/>
      </c>
      <c r="BG210" t="str">
        <f t="shared" si="198"/>
        <v/>
      </c>
      <c r="BH210" t="str">
        <f t="shared" si="201"/>
        <v/>
      </c>
      <c r="BI210">
        <f t="shared" si="199"/>
        <v>0</v>
      </c>
      <c r="BJ210" s="25" t="str">
        <f t="shared" si="162"/>
        <v/>
      </c>
    </row>
    <row r="211" spans="1:63">
      <c r="A211" s="1">
        <v>42814</v>
      </c>
      <c r="B211" s="41">
        <f t="shared" si="202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52"/>
        <v>3239.7647249999995</v>
      </c>
      <c r="T211" t="str">
        <f t="shared" si="184"/>
        <v>熊</v>
      </c>
      <c r="U211">
        <f t="shared" si="185"/>
        <v>3250.8483999999999</v>
      </c>
      <c r="V211">
        <f t="shared" si="186"/>
        <v>3228.1543000000001</v>
      </c>
      <c r="W211" s="40">
        <f t="shared" si="164"/>
        <v>7.0054586679154113E-3</v>
      </c>
      <c r="X211">
        <f t="shared" si="187"/>
        <v>1459</v>
      </c>
      <c r="Y211">
        <f t="shared" si="188"/>
        <v>1359</v>
      </c>
      <c r="Z211" s="25">
        <f t="shared" ref="Z211:Z238" si="206">(U211-V211)/(C211)</f>
        <v>7.0019528185727813E-3</v>
      </c>
      <c r="AA211" s="25">
        <f t="shared" ref="AA211:AA238" si="207">LN(C211/N210)</f>
        <v>1.1727858561547328E-3</v>
      </c>
      <c r="AB211" s="25">
        <f t="shared" ref="AB211:AB238" si="208">LN(N211/U211)</f>
        <v>-1.0016348559569905E-4</v>
      </c>
      <c r="AC211" s="25">
        <f t="shared" ref="AC211:AC238" si="209">LN(N211/V211)</f>
        <v>6.9052951823197102E-3</v>
      </c>
      <c r="AD211" s="25">
        <f t="shared" ref="AD211:AD238" si="210">LN(U211/C211)</f>
        <v>3.0001138498583898E-3</v>
      </c>
      <c r="AE211" s="25">
        <f t="shared" ref="AE211:AE238" si="211">LN(V211/C211)</f>
        <v>-4.0053448180570198E-3</v>
      </c>
      <c r="AF211" s="25">
        <f t="shared" ref="AF211:AG238" si="212">LN(N211/C211)</f>
        <v>2.8999503642628344E-3</v>
      </c>
      <c r="AG211" s="25">
        <f t="shared" ref="AG211:AG238" si="213">LN(N211/N210)</f>
        <v>4.0727362204173306E-3</v>
      </c>
      <c r="AH211" s="25">
        <f t="shared" ref="AH211:AH238" si="214">LN(D211/C211)</f>
        <v>1.5675850355760575E-3</v>
      </c>
      <c r="AI211" s="25">
        <f t="shared" ref="AI211:AI238" si="215">LN(E211/C211)</f>
        <v>7.660488810173465E-4</v>
      </c>
      <c r="AJ211" s="25">
        <f t="shared" ref="AJ211:AJ238" si="216">LN(F211/C211)</f>
        <v>1.1131368828953379E-4</v>
      </c>
      <c r="AK211" s="25">
        <f t="shared" ref="AK211:AK238" si="217">+LN(G211/C211)</f>
        <v>-4.7420924199883461E-4</v>
      </c>
      <c r="AL211" s="25">
        <f t="shared" ref="AL211:AL238" si="218">LN(H211/I211)</f>
        <v>3.9983757533974618E-3</v>
      </c>
      <c r="AM211" s="25">
        <f t="shared" ref="AM211:AM238" si="219">LN(O211/P211)</f>
        <v>7.0054586679154113E-3</v>
      </c>
      <c r="AN211" s="25">
        <f t="shared" ref="AN211:AN238" si="220">LN(L211/G211)</f>
        <v>0</v>
      </c>
      <c r="AO211" s="40">
        <f t="shared" ref="AO211:AO238" si="221">(C211-I211)/(H211-I211)</f>
        <v>0.40660290033937863</v>
      </c>
      <c r="AP211" s="40">
        <f t="shared" ref="AP211:AP238" si="222">(N210-I211)/(H211-I211)</f>
        <v>0.11356834310397342</v>
      </c>
      <c r="AQ211" s="25">
        <f t="shared" ref="AQ211:AQ238" si="223">LN(M211/L211)</f>
        <v>4.821506115972412E-5</v>
      </c>
      <c r="AR211" s="25">
        <f t="shared" ref="AR211:AR238" si="224">LN(N211/L211)</f>
        <v>3.3741596062616406E-3</v>
      </c>
      <c r="AS211" s="25">
        <f>LN(N211/C211)</f>
        <v>2.8999503642628344E-3</v>
      </c>
      <c r="AT211" s="28">
        <f t="shared" ref="AT211:AT238" si="225">+(G211-I211)/(H211-I211)</f>
        <v>0.28807466831223311</v>
      </c>
      <c r="AU211" s="28">
        <f t="shared" ref="AU211:AU238" si="226">+(N211-P211)/(O211-P211)</f>
        <v>0.98565265862053697</v>
      </c>
      <c r="AV211" s="40">
        <f t="shared" ref="AV211:AV238" si="227">+(N211-V211)/(U211-V211)</f>
        <v>0.98565265862053697</v>
      </c>
      <c r="AW211" s="25">
        <f t="shared" ref="AW211:AW238" si="228">LN(N211/C211)</f>
        <v>2.8999503642628344E-3</v>
      </c>
      <c r="AX211" s="28">
        <f t="shared" ref="AX211:AX238" si="229">(N211-L211)/(U211-V211)</f>
        <v>0.48247341820122247</v>
      </c>
      <c r="AY211" s="25">
        <f t="shared" ref="AY211:AY238" si="230">LN(G211/I211)</f>
        <v>1.1534710635795089E-3</v>
      </c>
      <c r="AZ211" s="25">
        <f t="shared" ref="AZ211:AZ238" si="231">LN(N211/P211)</f>
        <v>6.9052951823197102E-3</v>
      </c>
      <c r="BA211" s="25">
        <f t="shared" si="203"/>
        <v>0.11495965864639496</v>
      </c>
      <c r="BB211" s="25">
        <f t="shared" si="204"/>
        <v>-7.3392689698221882E-3</v>
      </c>
      <c r="BC211" s="25">
        <f t="shared" si="205"/>
        <v>-1.0617508451771396E-2</v>
      </c>
      <c r="BD211" s="39">
        <f t="shared" si="200"/>
        <v>1</v>
      </c>
      <c r="BE211" t="str">
        <f t="shared" ref="BE211:BE238" si="232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33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34">IF(B211=3,IF(AV210&lt;0.85,IF(AND(K211&gt;942,AT211&gt;0.9),0.25,1)*IF(AR210&lt;-0.004,1,0.5),0),"")</f>
        <v/>
      </c>
      <c r="BH211" t="str">
        <f t="shared" ref="BH211:BH238" si="235">IF(B211=4,IF(AV210&lt;0.6,IF(AQ211&gt;=0,IF(K211&lt;1018,2,1),0),IF(AV210&gt;0.85,IF(AQ211&lt;=0,-0.5,0),0)),"")</f>
        <v/>
      </c>
      <c r="BI211" t="str">
        <f t="shared" ref="BI211:BI238" si="236">IF(B211=5,IF(AV210&lt;0.4,IF(AQ211&gt; -0.004,1,0),IF(AV210&lt;0.95,IF(AND(AO211&lt;0.85,AT211&lt;0.95,AQ211&gt;0,K211&lt;1115),0.5,0),0)),"")</f>
        <v/>
      </c>
      <c r="BJ211" s="25" t="str">
        <f t="shared" si="162"/>
        <v/>
      </c>
    </row>
    <row r="212" spans="1:63">
      <c r="A212" s="1">
        <v>42815</v>
      </c>
      <c r="B212" s="41">
        <f t="shared" si="202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52"/>
        <v>3240.2928649999999</v>
      </c>
      <c r="T212" t="str">
        <f t="shared" si="184"/>
        <v>牛</v>
      </c>
      <c r="U212">
        <f t="shared" si="185"/>
        <v>3262.2208999999998</v>
      </c>
      <c r="V212">
        <f t="shared" si="186"/>
        <v>3246.9283999999998</v>
      </c>
      <c r="W212" s="40">
        <f t="shared" si="164"/>
        <v>4.6987793431970066E-3</v>
      </c>
      <c r="X212">
        <f t="shared" si="187"/>
        <v>1500</v>
      </c>
      <c r="Y212">
        <f t="shared" si="188"/>
        <v>932</v>
      </c>
      <c r="Z212" s="25">
        <f t="shared" si="206"/>
        <v>4.7050265990529454E-3</v>
      </c>
      <c r="AA212" s="25">
        <f t="shared" si="207"/>
        <v>-8.4759188812173503E-5</v>
      </c>
      <c r="AB212" s="25">
        <f t="shared" si="208"/>
        <v>-6.1921197735098131E-6</v>
      </c>
      <c r="AC212" s="25">
        <f t="shared" si="209"/>
        <v>4.6925872234235919E-3</v>
      </c>
      <c r="AD212" s="25">
        <f t="shared" si="210"/>
        <v>3.6771353421961753E-3</v>
      </c>
      <c r="AE212" s="25">
        <f t="shared" si="211"/>
        <v>-1.0216440010010046E-3</v>
      </c>
      <c r="AF212" s="25">
        <f t="shared" si="212"/>
        <v>3.6709432224226878E-3</v>
      </c>
      <c r="AG212" s="25">
        <f t="shared" si="213"/>
        <v>3.5861840336105385E-3</v>
      </c>
      <c r="AH212" s="25">
        <f t="shared" si="214"/>
        <v>-6.7254417968049375E-4</v>
      </c>
      <c r="AI212" s="25">
        <f t="shared" si="215"/>
        <v>-8.1411553326457109E-4</v>
      </c>
      <c r="AJ212" s="25">
        <f t="shared" si="216"/>
        <v>2.7163502431528768E-4</v>
      </c>
      <c r="AK212" s="25">
        <f t="shared" si="217"/>
        <v>2.4195323924954943E-3</v>
      </c>
      <c r="AL212" s="25">
        <f t="shared" si="218"/>
        <v>3.732222067349922E-3</v>
      </c>
      <c r="AM212" s="25">
        <f t="shared" si="219"/>
        <v>3.8963426882061012E-3</v>
      </c>
      <c r="AN212" s="25">
        <f t="shared" si="220"/>
        <v>0</v>
      </c>
      <c r="AO212" s="40">
        <f t="shared" si="221"/>
        <v>0.27336523651460126</v>
      </c>
      <c r="AP212" s="40">
        <f t="shared" si="222"/>
        <v>0.29605712920790944</v>
      </c>
      <c r="AQ212" s="25">
        <f t="shared" si="223"/>
        <v>1.5578318878623349E-4</v>
      </c>
      <c r="AR212" s="25">
        <f t="shared" si="224"/>
        <v>1.2514108299271425E-3</v>
      </c>
      <c r="AS212" s="25">
        <f>LN(N212/C212)</f>
        <v>3.6709432224226878E-3</v>
      </c>
      <c r="AT212" s="28">
        <f t="shared" si="225"/>
        <v>0.92188388010771904</v>
      </c>
      <c r="AU212" s="28">
        <f t="shared" si="226"/>
        <v>0.99840769352042158</v>
      </c>
      <c r="AV212" s="40">
        <f t="shared" si="227"/>
        <v>0.99867909105771246</v>
      </c>
      <c r="AW212" s="25">
        <f t="shared" si="228"/>
        <v>3.6709432224226878E-3</v>
      </c>
      <c r="AX212" s="28">
        <f t="shared" si="229"/>
        <v>0.26678437142389883</v>
      </c>
      <c r="AY212" s="25">
        <f t="shared" si="230"/>
        <v>3.4411763934964527E-3</v>
      </c>
      <c r="AZ212" s="25">
        <f t="shared" si="231"/>
        <v>3.8901505684325794E-3</v>
      </c>
      <c r="BA212" s="25">
        <f t="shared" si="203"/>
        <v>0.98565265862053697</v>
      </c>
      <c r="BB212" s="25">
        <f t="shared" si="204"/>
        <v>3.3741596062616406E-3</v>
      </c>
      <c r="BC212" s="25">
        <f t="shared" si="205"/>
        <v>2.8999503642628344E-3</v>
      </c>
      <c r="BD212" s="39">
        <f t="shared" si="200"/>
        <v>0</v>
      </c>
      <c r="BE212">
        <f t="shared" si="232"/>
        <v>0</v>
      </c>
      <c r="BF212">
        <f t="shared" si="233"/>
        <v>0</v>
      </c>
      <c r="BG212" t="str">
        <f t="shared" si="234"/>
        <v/>
      </c>
      <c r="BH212" t="str">
        <f t="shared" si="235"/>
        <v/>
      </c>
      <c r="BI212" t="str">
        <f t="shared" si="236"/>
        <v/>
      </c>
      <c r="BJ212" s="25" t="str">
        <f t="shared" si="162"/>
        <v/>
      </c>
    </row>
    <row r="213" spans="1:63">
      <c r="A213" s="1">
        <v>42816</v>
      </c>
      <c r="B213" s="41">
        <f t="shared" si="202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52"/>
        <v>3240.7624949999999</v>
      </c>
      <c r="T213" t="str">
        <f t="shared" si="184"/>
        <v>牛</v>
      </c>
      <c r="U213">
        <f t="shared" si="185"/>
        <v>3255.5684999999999</v>
      </c>
      <c r="V213">
        <f t="shared" si="186"/>
        <v>3229.1282999999999</v>
      </c>
      <c r="W213" s="40">
        <f t="shared" si="164"/>
        <v>8.1546901376625212E-3</v>
      </c>
      <c r="X213">
        <f t="shared" si="187"/>
        <v>1009</v>
      </c>
      <c r="Y213">
        <f t="shared" si="188"/>
        <v>1104</v>
      </c>
      <c r="Z213" s="25">
        <f t="shared" si="206"/>
        <v>8.144911041701907E-3</v>
      </c>
      <c r="AA213" s="25">
        <f t="shared" si="207"/>
        <v>-4.9097698907471718E-3</v>
      </c>
      <c r="AB213" s="25">
        <f t="shared" si="208"/>
        <v>-3.1140086079607986E-3</v>
      </c>
      <c r="AC213" s="25">
        <f t="shared" si="209"/>
        <v>5.0406815297016506E-3</v>
      </c>
      <c r="AD213" s="25">
        <f t="shared" si="210"/>
        <v>2.8746557019714764E-3</v>
      </c>
      <c r="AE213" s="25">
        <f t="shared" si="211"/>
        <v>-5.2800344356911588E-3</v>
      </c>
      <c r="AF213" s="25">
        <f t="shared" si="212"/>
        <v>-2.3935290598944945E-4</v>
      </c>
      <c r="AG213" s="25">
        <f t="shared" si="213"/>
        <v>-5.1491227967365464E-3</v>
      </c>
      <c r="AH213" s="25">
        <f t="shared" si="214"/>
        <v>-1.4046171186362472E-3</v>
      </c>
      <c r="AI213" s="25">
        <f t="shared" si="215"/>
        <v>2.4292974686409329E-4</v>
      </c>
      <c r="AJ213" s="25">
        <f t="shared" si="216"/>
        <v>3.5607295798750001E-4</v>
      </c>
      <c r="AK213" s="25">
        <f t="shared" si="217"/>
        <v>-2.5508881851321842E-3</v>
      </c>
      <c r="AL213" s="25">
        <f t="shared" si="218"/>
        <v>8.1546901376625212E-3</v>
      </c>
      <c r="AM213" s="25">
        <f t="shared" si="219"/>
        <v>5.1392037671137026E-3</v>
      </c>
      <c r="AN213" s="25">
        <f t="shared" si="220"/>
        <v>0</v>
      </c>
      <c r="AO213" s="40">
        <f t="shared" si="221"/>
        <v>0.64655335436192807</v>
      </c>
      <c r="AP213" s="40">
        <f t="shared" si="222"/>
        <v>1.2508377395027273</v>
      </c>
      <c r="AQ213" s="25">
        <f t="shared" si="223"/>
        <v>-6.8786229500670008E-4</v>
      </c>
      <c r="AR213" s="25">
        <f t="shared" si="224"/>
        <v>2.3115352791426734E-3</v>
      </c>
      <c r="AS213" s="25">
        <f>LN(N213/C213)</f>
        <v>-2.3935290598944945E-4</v>
      </c>
      <c r="AT213" s="28">
        <f t="shared" si="225"/>
        <v>0.33376449497357513</v>
      </c>
      <c r="AU213" s="28">
        <f t="shared" si="226"/>
        <v>0.85499681654914139</v>
      </c>
      <c r="AV213" s="40">
        <f t="shared" si="227"/>
        <v>0.61717006679223141</v>
      </c>
      <c r="AW213" s="25">
        <f t="shared" si="228"/>
        <v>-2.3935290598944945E-4</v>
      </c>
      <c r="AX213" s="28">
        <f t="shared" si="229"/>
        <v>0.28340557181865622</v>
      </c>
      <c r="AY213" s="25">
        <f t="shared" si="230"/>
        <v>2.7291462505590479E-3</v>
      </c>
      <c r="AZ213" s="25">
        <f t="shared" si="231"/>
        <v>4.3956380775795256E-3</v>
      </c>
      <c r="BA213" s="25">
        <f t="shared" si="203"/>
        <v>0.99867909105771246</v>
      </c>
      <c r="BB213" s="25">
        <f t="shared" si="204"/>
        <v>1.2514108299271425E-3</v>
      </c>
      <c r="BC213" s="25">
        <f t="shared" si="205"/>
        <v>3.6709432224226878E-3</v>
      </c>
      <c r="BD213" s="39">
        <f t="shared" si="200"/>
        <v>0</v>
      </c>
      <c r="BE213" t="str">
        <f t="shared" si="232"/>
        <v/>
      </c>
      <c r="BF213" t="str">
        <f t="shared" si="233"/>
        <v/>
      </c>
      <c r="BG213">
        <f t="shared" si="234"/>
        <v>0</v>
      </c>
      <c r="BH213" t="str">
        <f t="shared" si="235"/>
        <v/>
      </c>
      <c r="BI213" t="str">
        <f t="shared" si="236"/>
        <v/>
      </c>
      <c r="BJ213" s="25" t="str">
        <f t="shared" si="162"/>
        <v/>
      </c>
    </row>
    <row r="214" spans="1:63">
      <c r="A214" s="1">
        <v>42817</v>
      </c>
      <c r="B214" s="41">
        <f t="shared" si="202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52"/>
        <v>3239.9743149999999</v>
      </c>
      <c r="T214" t="str">
        <f t="shared" si="184"/>
        <v>牛</v>
      </c>
      <c r="U214">
        <f t="shared" si="185"/>
        <v>3262.05</v>
      </c>
      <c r="V214">
        <f t="shared" si="186"/>
        <v>3222.17</v>
      </c>
      <c r="W214" s="40">
        <f t="shared" si="164"/>
        <v>1.2300786478599411E-2</v>
      </c>
      <c r="X214">
        <f t="shared" si="187"/>
        <v>1037</v>
      </c>
      <c r="Y214">
        <f t="shared" si="188"/>
        <v>1342</v>
      </c>
      <c r="Z214" s="25">
        <f t="shared" si="206"/>
        <v>1.2286609505793657E-2</v>
      </c>
      <c r="AA214" s="25">
        <f t="shared" si="207"/>
        <v>1.1202761930047172E-4</v>
      </c>
      <c r="AB214" s="25">
        <f t="shared" si="208"/>
        <v>-4.1470891617166935E-3</v>
      </c>
      <c r="AC214" s="25">
        <f t="shared" si="209"/>
        <v>8.1536973168826726E-3</v>
      </c>
      <c r="AD214" s="25">
        <f t="shared" si="210"/>
        <v>4.9908983015169934E-3</v>
      </c>
      <c r="AE214" s="25">
        <f t="shared" si="211"/>
        <v>-7.3098881770823632E-3</v>
      </c>
      <c r="AF214" s="25">
        <f t="shared" si="212"/>
        <v>8.4380913980027373E-4</v>
      </c>
      <c r="AG214" s="25">
        <f t="shared" si="213"/>
        <v>9.5583675910082826E-4</v>
      </c>
      <c r="AH214" s="25">
        <f t="shared" si="214"/>
        <v>7.7916282438692994E-4</v>
      </c>
      <c r="AI214" s="25">
        <f t="shared" si="215"/>
        <v>1.8406801552589009E-3</v>
      </c>
      <c r="AJ214" s="25">
        <f t="shared" si="216"/>
        <v>2.043624696747169E-3</v>
      </c>
      <c r="AK214" s="25">
        <f t="shared" si="217"/>
        <v>2.8642075409798847E-3</v>
      </c>
      <c r="AL214" s="25">
        <f t="shared" si="218"/>
        <v>4.9908983015169934E-3</v>
      </c>
      <c r="AM214" s="25">
        <f t="shared" si="219"/>
        <v>1.0432117430177671E-2</v>
      </c>
      <c r="AN214" s="25">
        <f t="shared" si="220"/>
        <v>0</v>
      </c>
      <c r="AO214" s="40">
        <f t="shared" si="221"/>
        <v>0</v>
      </c>
      <c r="AP214" s="40">
        <f t="shared" si="222"/>
        <v>-2.2389162561584228E-2</v>
      </c>
      <c r="AQ214" s="25">
        <f t="shared" si="223"/>
        <v>-1.051204832755157E-3</v>
      </c>
      <c r="AR214" s="25">
        <f t="shared" si="224"/>
        <v>-2.0203984011796287E-3</v>
      </c>
      <c r="AS214" s="25">
        <f>LN(N214/C214)</f>
        <v>8.4380913980027373E-4</v>
      </c>
      <c r="AT214" s="28">
        <f t="shared" si="225"/>
        <v>0.57327586206895376</v>
      </c>
      <c r="AU214" s="28">
        <f t="shared" si="226"/>
        <v>0.78070435039953057</v>
      </c>
      <c r="AV214" s="40">
        <f t="shared" si="227"/>
        <v>0.66148445336008121</v>
      </c>
      <c r="AW214" s="25">
        <f t="shared" si="228"/>
        <v>8.4380913980027373E-4</v>
      </c>
      <c r="AX214" s="28">
        <f t="shared" si="229"/>
        <v>-0.16474423269808652</v>
      </c>
      <c r="AY214" s="25">
        <f t="shared" si="230"/>
        <v>2.8642075409798847E-3</v>
      </c>
      <c r="AZ214" s="25">
        <f t="shared" si="231"/>
        <v>8.1536973168826726E-3</v>
      </c>
      <c r="BA214" s="25">
        <f t="shared" si="203"/>
        <v>0.61717006679223141</v>
      </c>
      <c r="BB214" s="25">
        <f t="shared" si="204"/>
        <v>2.3115352791426734E-3</v>
      </c>
      <c r="BC214" s="25">
        <f t="shared" si="205"/>
        <v>-2.3935290598944945E-4</v>
      </c>
      <c r="BD214" s="39">
        <f t="shared" si="200"/>
        <v>0</v>
      </c>
      <c r="BE214" t="str">
        <f t="shared" si="232"/>
        <v/>
      </c>
      <c r="BF214" t="str">
        <f t="shared" si="233"/>
        <v/>
      </c>
      <c r="BG214" t="str">
        <f t="shared" si="234"/>
        <v/>
      </c>
      <c r="BH214">
        <f t="shared" si="235"/>
        <v>0</v>
      </c>
      <c r="BI214" t="str">
        <f t="shared" si="236"/>
        <v/>
      </c>
      <c r="BJ214" s="25" t="str">
        <f t="shared" si="162"/>
        <v/>
      </c>
    </row>
    <row r="215" spans="1:63">
      <c r="A215" s="1">
        <v>42818</v>
      </c>
      <c r="B215" s="41">
        <f t="shared" ref="B215:B237" si="23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52"/>
        <v>3239.8607549999997</v>
      </c>
      <c r="T215" t="str">
        <f t="shared" si="184"/>
        <v>牛</v>
      </c>
      <c r="U215">
        <f t="shared" si="185"/>
        <v>3275.1547</v>
      </c>
      <c r="V215">
        <f t="shared" si="186"/>
        <v>3241.1233000000002</v>
      </c>
      <c r="W215" s="40">
        <f t="shared" si="164"/>
        <v>1.0445137363420981E-2</v>
      </c>
      <c r="X215">
        <f t="shared" si="187"/>
        <v>1426</v>
      </c>
      <c r="Y215">
        <f t="shared" si="188"/>
        <v>1000</v>
      </c>
      <c r="Z215" s="25">
        <f t="shared" si="206"/>
        <v>1.0479746636449157E-2</v>
      </c>
      <c r="AA215" s="25">
        <f t="shared" si="207"/>
        <v>-3.6961779155228919E-4</v>
      </c>
      <c r="AB215" s="25">
        <f t="shared" si="208"/>
        <v>-1.9020538747571217E-3</v>
      </c>
      <c r="AC215" s="25">
        <f t="shared" si="209"/>
        <v>8.5430834886639061E-3</v>
      </c>
      <c r="AD215" s="25">
        <f t="shared" si="210"/>
        <v>8.5259794651215502E-3</v>
      </c>
      <c r="AE215" s="25">
        <f t="shared" si="211"/>
        <v>-1.9191578982995262E-3</v>
      </c>
      <c r="AF215" s="25">
        <f t="shared" si="212"/>
        <v>6.6239255903643712E-3</v>
      </c>
      <c r="AG215" s="25">
        <f t="shared" si="213"/>
        <v>6.2543077988121655E-3</v>
      </c>
      <c r="AH215" s="25">
        <f t="shared" si="214"/>
        <v>-7.7043247454332091E-4</v>
      </c>
      <c r="AI215" s="25">
        <f t="shared" si="215"/>
        <v>4.1652992937472487E-4</v>
      </c>
      <c r="AJ215" s="25">
        <f t="shared" si="216"/>
        <v>1.6466644511751421E-3</v>
      </c>
      <c r="AK215" s="25">
        <f t="shared" si="217"/>
        <v>-3.478826280033153E-4</v>
      </c>
      <c r="AL215" s="25">
        <f t="shared" si="218"/>
        <v>4.1067033015131675E-3</v>
      </c>
      <c r="AM215" s="25">
        <f t="shared" si="219"/>
        <v>9.9765824768005933E-3</v>
      </c>
      <c r="AN215" s="25">
        <f t="shared" si="220"/>
        <v>0</v>
      </c>
      <c r="AO215" s="40">
        <f t="shared" si="221"/>
        <v>0.46681211903100245</v>
      </c>
      <c r="AP215" s="40">
        <f t="shared" si="222"/>
        <v>0.55682014140370628</v>
      </c>
      <c r="AQ215" s="25">
        <f t="shared" si="223"/>
        <v>-4.7266129830217325E-4</v>
      </c>
      <c r="AR215" s="25">
        <f t="shared" si="224"/>
        <v>6.9718082183678415E-3</v>
      </c>
      <c r="AS215" s="25">
        <f>LN(N215/C215)</f>
        <v>6.6239255903643712E-3</v>
      </c>
      <c r="AT215" s="28">
        <f t="shared" si="225"/>
        <v>0.38212735329177883</v>
      </c>
      <c r="AU215" s="28">
        <f t="shared" si="226"/>
        <v>0.80857765037338836</v>
      </c>
      <c r="AV215" s="40">
        <f t="shared" si="227"/>
        <v>0.81712183454103304</v>
      </c>
      <c r="AW215" s="25">
        <f t="shared" si="228"/>
        <v>6.6239255903643712E-3</v>
      </c>
      <c r="AX215" s="28">
        <f t="shared" si="229"/>
        <v>0.66735720540442323</v>
      </c>
      <c r="AY215" s="25">
        <f t="shared" si="230"/>
        <v>1.5712752702960299E-3</v>
      </c>
      <c r="AZ215" s="25">
        <f t="shared" si="231"/>
        <v>8.0745286020436693E-3</v>
      </c>
      <c r="BA215" s="25">
        <f t="shared" si="203"/>
        <v>0.66148445336008121</v>
      </c>
      <c r="BB215" s="25">
        <f t="shared" si="204"/>
        <v>-2.0203984011796287E-3</v>
      </c>
      <c r="BC215" s="25">
        <f t="shared" si="205"/>
        <v>8.4380913980027373E-4</v>
      </c>
      <c r="BD215" s="39">
        <f t="shared" si="200"/>
        <v>1</v>
      </c>
      <c r="BE215" t="str">
        <f t="shared" si="232"/>
        <v/>
      </c>
      <c r="BF215" t="str">
        <f t="shared" si="233"/>
        <v/>
      </c>
      <c r="BG215" t="str">
        <f t="shared" si="234"/>
        <v/>
      </c>
      <c r="BH215" t="str">
        <f t="shared" si="235"/>
        <v/>
      </c>
      <c r="BI215">
        <f t="shared" si="236"/>
        <v>0</v>
      </c>
      <c r="BJ215" s="25" t="str">
        <f t="shared" ref="BJ215:BJ238" si="238">IF(MAX(BE215:BI215)=0,"",MAX(BE215:BI215)*AR215)</f>
        <v/>
      </c>
    </row>
    <row r="216" spans="1:63" ht="40.5">
      <c r="A216" s="1">
        <v>42821</v>
      </c>
      <c r="B216" s="41">
        <f t="shared" si="23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52"/>
        <v>3240.6725849999998</v>
      </c>
      <c r="T216" t="str">
        <f t="shared" si="184"/>
        <v>牛</v>
      </c>
      <c r="U216">
        <f t="shared" si="185"/>
        <v>3283.0945000000002</v>
      </c>
      <c r="V216">
        <f t="shared" si="186"/>
        <v>3262.1183999999998</v>
      </c>
      <c r="W216" s="40">
        <f t="shared" si="164"/>
        <v>6.4096224628024624E-3</v>
      </c>
      <c r="X216">
        <f t="shared" si="187"/>
        <v>1026</v>
      </c>
      <c r="Y216">
        <f t="shared" si="188"/>
        <v>1421</v>
      </c>
      <c r="Z216" s="25">
        <f t="shared" si="206"/>
        <v>6.4168209478104466E-3</v>
      </c>
      <c r="AA216" s="25">
        <f t="shared" si="207"/>
        <v>-2.1719661544219477E-6</v>
      </c>
      <c r="AB216" s="25">
        <f t="shared" si="208"/>
        <v>-4.9691431846018742E-3</v>
      </c>
      <c r="AC216" s="25">
        <f t="shared" si="209"/>
        <v>1.4404792782005235E-3</v>
      </c>
      <c r="AD216" s="25">
        <f t="shared" si="210"/>
        <v>4.3255439814630465E-3</v>
      </c>
      <c r="AE216" s="25">
        <f t="shared" si="211"/>
        <v>-2.0840784813393339E-3</v>
      </c>
      <c r="AF216" s="25">
        <f t="shared" si="212"/>
        <v>-6.4359920313869555E-4</v>
      </c>
      <c r="AG216" s="25">
        <f t="shared" si="213"/>
        <v>-6.4577116929314846E-4</v>
      </c>
      <c r="AH216" s="25">
        <f t="shared" si="214"/>
        <v>1.9680380770296821E-4</v>
      </c>
      <c r="AI216" s="25">
        <f t="shared" si="215"/>
        <v>1.5583204705223012E-3</v>
      </c>
      <c r="AJ216" s="25">
        <f t="shared" si="216"/>
        <v>8.3787577459706604E-4</v>
      </c>
      <c r="AK216" s="25">
        <f t="shared" si="217"/>
        <v>1.5549599759093992E-3</v>
      </c>
      <c r="AL216" s="25">
        <f t="shared" si="218"/>
        <v>4.9842956456809936E-3</v>
      </c>
      <c r="AM216" s="25">
        <f t="shared" si="219"/>
        <v>4.1574728605118369E-3</v>
      </c>
      <c r="AN216" s="25">
        <f t="shared" si="220"/>
        <v>0</v>
      </c>
      <c r="AO216" s="40">
        <f t="shared" si="221"/>
        <v>0.13187977847481253</v>
      </c>
      <c r="AP216" s="40">
        <f t="shared" si="222"/>
        <v>0.13231474220740227</v>
      </c>
      <c r="AQ216" s="25">
        <f t="shared" si="223"/>
        <v>-8.5586113232182675E-4</v>
      </c>
      <c r="AR216" s="25">
        <f t="shared" si="224"/>
        <v>-2.1985591790480768E-3</v>
      </c>
      <c r="AS216" s="25">
        <f t="shared" ref="AS216:AS221" si="239">LN(N216/C216)</f>
        <v>-6.4359920313869555E-4</v>
      </c>
      <c r="AT216" s="28">
        <f t="shared" si="225"/>
        <v>0.4435221035091137</v>
      </c>
      <c r="AU216" s="28">
        <f t="shared" si="226"/>
        <v>0.34600894749235561</v>
      </c>
      <c r="AV216" s="40">
        <f t="shared" si="227"/>
        <v>0.22417894651532241</v>
      </c>
      <c r="AW216" s="25">
        <f t="shared" si="228"/>
        <v>-6.4359920313869555E-4</v>
      </c>
      <c r="AX216" s="28">
        <f t="shared" si="229"/>
        <v>-0.34278059315124815</v>
      </c>
      <c r="AY216" s="25">
        <f t="shared" si="230"/>
        <v>2.2137116401272161E-3</v>
      </c>
      <c r="AZ216" s="25">
        <f t="shared" si="231"/>
        <v>1.4404792782005235E-3</v>
      </c>
      <c r="BA216" s="25">
        <f t="shared" si="203"/>
        <v>0.81712183454103304</v>
      </c>
      <c r="BB216" s="25">
        <f t="shared" si="204"/>
        <v>6.9718082183678415E-3</v>
      </c>
      <c r="BC216" s="25">
        <f t="shared" si="205"/>
        <v>6.6239255903643712E-3</v>
      </c>
      <c r="BD216" s="39">
        <f t="shared" si="200"/>
        <v>0</v>
      </c>
      <c r="BE216" t="str">
        <f t="shared" si="232"/>
        <v/>
      </c>
      <c r="BF216" t="str">
        <f t="shared" si="233"/>
        <v/>
      </c>
      <c r="BG216" t="str">
        <f t="shared" si="234"/>
        <v/>
      </c>
      <c r="BH216" t="str">
        <f t="shared" si="235"/>
        <v/>
      </c>
      <c r="BI216" t="str">
        <f t="shared" si="236"/>
        <v/>
      </c>
      <c r="BJ216" s="25" t="str">
        <f t="shared" si="238"/>
        <v/>
      </c>
      <c r="BK216" s="50" t="s">
        <v>269</v>
      </c>
    </row>
    <row r="217" spans="1:63">
      <c r="A217" s="1">
        <v>42822</v>
      </c>
      <c r="B217" s="41">
        <f t="shared" si="23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52"/>
        <v>3242.5438650000001</v>
      </c>
      <c r="T217" t="str">
        <f t="shared" si="184"/>
        <v>牛</v>
      </c>
      <c r="U217">
        <f t="shared" si="185"/>
        <v>3265.6343999999999</v>
      </c>
      <c r="V217">
        <f t="shared" si="186"/>
        <v>3246.2411000000002</v>
      </c>
      <c r="W217" s="40">
        <f t="shared" si="164"/>
        <v>5.9563047037848368E-3</v>
      </c>
      <c r="X217">
        <f t="shared" si="187"/>
        <v>930</v>
      </c>
      <c r="Y217">
        <f t="shared" si="188"/>
        <v>1345</v>
      </c>
      <c r="Z217" s="25">
        <f t="shared" si="206"/>
        <v>5.9386010877395604E-3</v>
      </c>
      <c r="AA217" s="25">
        <f t="shared" si="207"/>
        <v>-3.6323249887560143E-4</v>
      </c>
      <c r="AB217" s="25">
        <f t="shared" si="208"/>
        <v>-3.8782440316581551E-3</v>
      </c>
      <c r="AC217" s="25">
        <f t="shared" si="209"/>
        <v>2.0780606721265225E-3</v>
      </c>
      <c r="AD217" s="25">
        <f t="shared" si="210"/>
        <v>0</v>
      </c>
      <c r="AE217" s="25">
        <f t="shared" si="211"/>
        <v>-5.9563047037848021E-3</v>
      </c>
      <c r="AF217" s="25">
        <f t="shared" si="212"/>
        <v>-3.8782440316581551E-3</v>
      </c>
      <c r="AG217" s="25">
        <f t="shared" si="213"/>
        <v>-4.24147653053369E-3</v>
      </c>
      <c r="AH217" s="25">
        <f t="shared" si="214"/>
        <v>-4.995070274670686E-4</v>
      </c>
      <c r="AI217" s="25">
        <f t="shared" si="215"/>
        <v>-4.4616904800818201E-4</v>
      </c>
      <c r="AJ217" s="25">
        <f t="shared" si="216"/>
        <v>-1.8872633295445758E-3</v>
      </c>
      <c r="AK217" s="25">
        <f t="shared" si="217"/>
        <v>-2.5311627928120482E-3</v>
      </c>
      <c r="AL217" s="25">
        <f t="shared" si="218"/>
        <v>4.6586298184964903E-3</v>
      </c>
      <c r="AM217" s="25">
        <f t="shared" si="219"/>
        <v>3.4324483721038632E-3</v>
      </c>
      <c r="AN217" s="25">
        <f t="shared" si="220"/>
        <v>0</v>
      </c>
      <c r="AO217" s="40">
        <f t="shared" si="221"/>
        <v>1</v>
      </c>
      <c r="AP217" s="40">
        <f t="shared" si="222"/>
        <v>1.0781657662406152</v>
      </c>
      <c r="AQ217" s="25">
        <f t="shared" si="223"/>
        <v>-8.0738575738880866E-4</v>
      </c>
      <c r="AR217" s="25">
        <f t="shared" si="224"/>
        <v>-1.34708123884609E-3</v>
      </c>
      <c r="AS217" s="25">
        <f t="shared" si="239"/>
        <v>-3.8782440316581551E-3</v>
      </c>
      <c r="AT217" s="28">
        <f t="shared" si="225"/>
        <v>0.45609434708129715</v>
      </c>
      <c r="AU217" s="28">
        <f t="shared" si="226"/>
        <v>0.60500640583425136</v>
      </c>
      <c r="AV217" s="40">
        <f t="shared" si="227"/>
        <v>0.34820788622875165</v>
      </c>
      <c r="AW217" s="25">
        <f t="shared" si="228"/>
        <v>-3.8782440316581551E-3</v>
      </c>
      <c r="AX217" s="28">
        <f t="shared" si="229"/>
        <v>-0.22610901703164626</v>
      </c>
      <c r="AY217" s="25">
        <f t="shared" si="230"/>
        <v>2.1274670256843345E-3</v>
      </c>
      <c r="AZ217" s="25">
        <f t="shared" si="231"/>
        <v>2.0780606721265225E-3</v>
      </c>
      <c r="BA217" s="25">
        <f t="shared" si="203"/>
        <v>0.22417894651532241</v>
      </c>
      <c r="BB217" s="25">
        <f t="shared" si="204"/>
        <v>-2.1985591790480768E-3</v>
      </c>
      <c r="BC217" s="25">
        <f t="shared" si="205"/>
        <v>-6.4359920313869555E-4</v>
      </c>
      <c r="BD217" s="39">
        <f t="shared" si="200"/>
        <v>1</v>
      </c>
      <c r="BE217">
        <f t="shared" si="232"/>
        <v>0</v>
      </c>
      <c r="BF217">
        <f t="shared" si="233"/>
        <v>0</v>
      </c>
      <c r="BG217" t="str">
        <f t="shared" si="234"/>
        <v/>
      </c>
      <c r="BH217" t="str">
        <f t="shared" si="235"/>
        <v/>
      </c>
      <c r="BI217" t="str">
        <f t="shared" si="236"/>
        <v/>
      </c>
      <c r="BJ217" s="25" t="str">
        <f t="shared" si="238"/>
        <v/>
      </c>
    </row>
    <row r="218" spans="1:63">
      <c r="A218" s="1">
        <v>42823</v>
      </c>
      <c r="B218" s="41">
        <f t="shared" si="23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52"/>
        <v>3243.0939349999999</v>
      </c>
      <c r="T218" t="str">
        <f t="shared" si="184"/>
        <v>牛</v>
      </c>
      <c r="U218">
        <f t="shared" si="185"/>
        <v>3262.0976000000001</v>
      </c>
      <c r="V218">
        <f t="shared" si="186"/>
        <v>3233.319</v>
      </c>
      <c r="W218" s="40">
        <f t="shared" si="164"/>
        <v>8.8612602038060269E-3</v>
      </c>
      <c r="X218">
        <f t="shared" si="187"/>
        <v>1328</v>
      </c>
      <c r="Y218">
        <f t="shared" si="188"/>
        <v>1028</v>
      </c>
      <c r="Z218" s="25">
        <f t="shared" si="206"/>
        <v>8.8471539230352073E-3</v>
      </c>
      <c r="AA218" s="25">
        <f t="shared" si="207"/>
        <v>-3.9564335495851087E-5</v>
      </c>
      <c r="AB218" s="25">
        <f t="shared" si="208"/>
        <v>-6.3342075626889914E-3</v>
      </c>
      <c r="AC218" s="25">
        <f t="shared" si="209"/>
        <v>2.5270526411171257E-3</v>
      </c>
      <c r="AD218" s="25">
        <f t="shared" si="210"/>
        <v>2.8341853427752577E-3</v>
      </c>
      <c r="AE218" s="25">
        <f t="shared" si="211"/>
        <v>-6.0270748610308502E-3</v>
      </c>
      <c r="AF218" s="25">
        <f t="shared" si="212"/>
        <v>-3.5000222199138148E-3</v>
      </c>
      <c r="AG218" s="25">
        <f t="shared" si="213"/>
        <v>-3.5395865554096765E-3</v>
      </c>
      <c r="AH218" s="25">
        <f t="shared" si="214"/>
        <v>1.1732917913132338E-3</v>
      </c>
      <c r="AI218" s="25">
        <f t="shared" si="215"/>
        <v>4.796158665510917E-4</v>
      </c>
      <c r="AJ218" s="25">
        <f t="shared" si="216"/>
        <v>-5.6972165793975707E-4</v>
      </c>
      <c r="AK218" s="25">
        <f t="shared" si="217"/>
        <v>1.4723549852324633E-3</v>
      </c>
      <c r="AL218" s="25">
        <f t="shared" si="218"/>
        <v>7.4994298462633391E-3</v>
      </c>
      <c r="AM218" s="25">
        <f t="shared" si="219"/>
        <v>6.9362705925246661E-3</v>
      </c>
      <c r="AN218" s="25">
        <f t="shared" si="220"/>
        <v>0</v>
      </c>
      <c r="AO218" s="40">
        <f t="shared" si="221"/>
        <v>0.80307898369708375</v>
      </c>
      <c r="AP218" s="40">
        <f t="shared" si="222"/>
        <v>0.80836674993427349</v>
      </c>
      <c r="AQ218" s="25">
        <f t="shared" si="223"/>
        <v>-5.6016036242742952E-4</v>
      </c>
      <c r="AR218" s="25">
        <f t="shared" si="224"/>
        <v>-4.9723772051461987E-3</v>
      </c>
      <c r="AS218" s="25">
        <f t="shared" si="239"/>
        <v>-3.5000222199138148E-3</v>
      </c>
      <c r="AT218" s="28">
        <f t="shared" si="225"/>
        <v>1</v>
      </c>
      <c r="AU218" s="28">
        <f t="shared" si="226"/>
        <v>8.65246025234509E-2</v>
      </c>
      <c r="AV218" s="40">
        <f t="shared" si="227"/>
        <v>0.2842772059794505</v>
      </c>
      <c r="AW218" s="25">
        <f t="shared" si="228"/>
        <v>-3.5000222199138148E-3</v>
      </c>
      <c r="AX218" s="28">
        <f t="shared" si="229"/>
        <v>-0.5614623365973187</v>
      </c>
      <c r="AY218" s="25">
        <f t="shared" si="230"/>
        <v>7.4994298462633391E-3</v>
      </c>
      <c r="AZ218" s="25">
        <f t="shared" si="231"/>
        <v>6.0206302983569176E-4</v>
      </c>
      <c r="BA218" s="25">
        <f t="shared" si="203"/>
        <v>0.34820788622875165</v>
      </c>
      <c r="BB218" s="25">
        <f t="shared" si="204"/>
        <v>-1.34708123884609E-3</v>
      </c>
      <c r="BC218" s="25">
        <f t="shared" si="205"/>
        <v>-3.8782440316581551E-3</v>
      </c>
      <c r="BD218" s="39">
        <f t="shared" si="200"/>
        <v>1</v>
      </c>
      <c r="BE218" t="str">
        <f t="shared" si="232"/>
        <v/>
      </c>
      <c r="BF218" t="str">
        <f t="shared" si="233"/>
        <v/>
      </c>
      <c r="BG218">
        <f t="shared" si="234"/>
        <v>0.125</v>
      </c>
      <c r="BH218" t="str">
        <f t="shared" si="235"/>
        <v/>
      </c>
      <c r="BI218" t="str">
        <f t="shared" si="236"/>
        <v/>
      </c>
      <c r="BJ218" s="25">
        <f t="shared" si="238"/>
        <v>-6.2154715064327484E-4</v>
      </c>
    </row>
    <row r="219" spans="1:63">
      <c r="A219" s="1">
        <v>42824</v>
      </c>
      <c r="B219" s="41">
        <f t="shared" si="23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52"/>
        <v>3242.8030349999999</v>
      </c>
      <c r="T219" t="str">
        <f t="shared" si="184"/>
        <v>熊</v>
      </c>
      <c r="U219">
        <f t="shared" si="185"/>
        <v>3239.7264</v>
      </c>
      <c r="V219">
        <f t="shared" si="186"/>
        <v>3196.2480999999998</v>
      </c>
      <c r="W219" s="40">
        <f t="shared" si="164"/>
        <v>1.3511228617695267E-2</v>
      </c>
      <c r="X219">
        <f t="shared" si="187"/>
        <v>935</v>
      </c>
      <c r="Y219">
        <f t="shared" si="188"/>
        <v>1312</v>
      </c>
      <c r="Z219" s="25">
        <f t="shared" si="206"/>
        <v>1.3439400354278737E-2</v>
      </c>
      <c r="AA219" s="25">
        <f t="shared" si="207"/>
        <v>-1.9649710327809223E-3</v>
      </c>
      <c r="AB219" s="25">
        <f t="shared" si="208"/>
        <v>-9.5521126296687561E-3</v>
      </c>
      <c r="AC219" s="25">
        <f t="shared" si="209"/>
        <v>3.9591159880266007E-3</v>
      </c>
      <c r="AD219" s="25">
        <f t="shared" si="210"/>
        <v>1.4176363441137456E-3</v>
      </c>
      <c r="AE219" s="25">
        <f t="shared" si="211"/>
        <v>-1.2093592273581633E-2</v>
      </c>
      <c r="AF219" s="25">
        <f t="shared" si="212"/>
        <v>-8.1344762855551471E-3</v>
      </c>
      <c r="AG219" s="25">
        <f t="shared" si="213"/>
        <v>-1.0099447318336063E-2</v>
      </c>
      <c r="AH219" s="25">
        <f t="shared" si="214"/>
        <v>-7.5425556356639397E-4</v>
      </c>
      <c r="AI219" s="25">
        <f t="shared" si="215"/>
        <v>1.0251496512601703E-3</v>
      </c>
      <c r="AJ219" s="25">
        <f t="shared" si="216"/>
        <v>-1.3818851056302754E-3</v>
      </c>
      <c r="AK219" s="25">
        <f t="shared" si="217"/>
        <v>-9.3601223165710352E-3</v>
      </c>
      <c r="AL219" s="25">
        <f t="shared" si="218"/>
        <v>1.083151990818319E-2</v>
      </c>
      <c r="AM219" s="25">
        <f t="shared" si="219"/>
        <v>6.4633264730340721E-3</v>
      </c>
      <c r="AN219" s="25">
        <f t="shared" si="220"/>
        <v>0</v>
      </c>
      <c r="AO219" s="40">
        <f t="shared" si="221"/>
        <v>0.86850248411256636</v>
      </c>
      <c r="AP219" s="40">
        <f t="shared" si="222"/>
        <v>1.0508197284953837</v>
      </c>
      <c r="AQ219" s="25">
        <f t="shared" si="223"/>
        <v>-2.4872115152282884E-3</v>
      </c>
      <c r="AR219" s="25">
        <f t="shared" si="224"/>
        <v>1.2256460310158979E-3</v>
      </c>
      <c r="AS219" s="25">
        <f t="shared" si="239"/>
        <v>-8.1344762855551471E-3</v>
      </c>
      <c r="AT219" s="28">
        <f t="shared" si="225"/>
        <v>4.9367081354021016E-3</v>
      </c>
      <c r="AU219" s="28">
        <f t="shared" si="226"/>
        <v>0.61178366537516704</v>
      </c>
      <c r="AV219" s="40">
        <f t="shared" si="227"/>
        <v>0.29162593753665444</v>
      </c>
      <c r="AW219" s="25">
        <f t="shared" si="228"/>
        <v>-8.1344762855551471E-3</v>
      </c>
      <c r="AX219" s="28">
        <f t="shared" si="229"/>
        <v>9.040371863664555E-2</v>
      </c>
      <c r="AY219" s="25">
        <f t="shared" si="230"/>
        <v>5.3761247498677669E-5</v>
      </c>
      <c r="AZ219" s="25">
        <f t="shared" si="231"/>
        <v>3.9591159880266007E-3</v>
      </c>
      <c r="BA219" s="25">
        <f t="shared" si="203"/>
        <v>0.2842772059794505</v>
      </c>
      <c r="BB219" s="25">
        <f t="shared" si="204"/>
        <v>-4.9723772051461987E-3</v>
      </c>
      <c r="BC219" s="25">
        <f t="shared" si="205"/>
        <v>-3.5000222199138148E-3</v>
      </c>
      <c r="BD219" s="39">
        <f t="shared" si="200"/>
        <v>1</v>
      </c>
      <c r="BE219" t="str">
        <f t="shared" si="232"/>
        <v/>
      </c>
      <c r="BF219" t="str">
        <f t="shared" si="233"/>
        <v/>
      </c>
      <c r="BG219" t="str">
        <f t="shared" si="234"/>
        <v/>
      </c>
      <c r="BH219">
        <f t="shared" si="235"/>
        <v>0</v>
      </c>
      <c r="BI219" t="str">
        <f t="shared" si="236"/>
        <v/>
      </c>
      <c r="BJ219" s="25" t="str">
        <f t="shared" si="238"/>
        <v/>
      </c>
    </row>
    <row r="220" spans="1:63">
      <c r="A220" s="1">
        <v>42825</v>
      </c>
      <c r="B220" s="41">
        <f t="shared" si="23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52"/>
        <v>3241.72694</v>
      </c>
      <c r="T220" t="str">
        <f t="shared" si="184"/>
        <v>熊</v>
      </c>
      <c r="U220">
        <f t="shared" si="185"/>
        <v>3226.1239</v>
      </c>
      <c r="V220">
        <f t="shared" si="186"/>
        <v>3205.63</v>
      </c>
      <c r="W220" s="40">
        <f t="shared" si="164"/>
        <v>6.3727467426801451E-3</v>
      </c>
      <c r="X220">
        <f t="shared" si="187"/>
        <v>1107</v>
      </c>
      <c r="Y220">
        <f t="shared" si="188"/>
        <v>1021</v>
      </c>
      <c r="Z220" s="25">
        <f t="shared" si="206"/>
        <v>6.3918538677968728E-3</v>
      </c>
      <c r="AA220" s="25">
        <f t="shared" si="207"/>
        <v>-8.3383474452758031E-4</v>
      </c>
      <c r="AB220" s="25">
        <f t="shared" si="208"/>
        <v>-1.0918744864159633E-3</v>
      </c>
      <c r="AC220" s="25">
        <f t="shared" si="209"/>
        <v>5.2808722562642353E-3</v>
      </c>
      <c r="AD220" s="25">
        <f t="shared" si="210"/>
        <v>6.1784512411327264E-3</v>
      </c>
      <c r="AE220" s="25">
        <f t="shared" si="211"/>
        <v>-1.9429550154745744E-4</v>
      </c>
      <c r="AF220" s="25">
        <f t="shared" si="212"/>
        <v>5.0865767547168391E-3</v>
      </c>
      <c r="AG220" s="25">
        <f t="shared" si="213"/>
        <v>4.2527420101892569E-3</v>
      </c>
      <c r="AH220" s="25">
        <f t="shared" si="214"/>
        <v>1.1766008158375836E-3</v>
      </c>
      <c r="AI220" s="25">
        <f t="shared" si="215"/>
        <v>2.2262587708276908E-3</v>
      </c>
      <c r="AJ220" s="25">
        <f t="shared" si="216"/>
        <v>3.9814259275519176E-4</v>
      </c>
      <c r="AK220" s="25">
        <f t="shared" si="217"/>
        <v>4.0925382952467946E-3</v>
      </c>
      <c r="AL220" s="25">
        <f t="shared" si="218"/>
        <v>6.3727467426801451E-3</v>
      </c>
      <c r="AM220" s="25">
        <f t="shared" si="219"/>
        <v>4.3760202238616796E-3</v>
      </c>
      <c r="AN220" s="25">
        <f t="shared" si="220"/>
        <v>0</v>
      </c>
      <c r="AO220" s="40">
        <f t="shared" si="221"/>
        <v>3.0394410043956828E-2</v>
      </c>
      <c r="AP220" s="40">
        <f t="shared" si="222"/>
        <v>0.16090153655476422</v>
      </c>
      <c r="AQ220" s="25">
        <f t="shared" si="223"/>
        <v>3.6658479996047171E-4</v>
      </c>
      <c r="AR220" s="25">
        <f t="shared" si="224"/>
        <v>9.9403845947005297E-4</v>
      </c>
      <c r="AS220" s="25">
        <f t="shared" si="239"/>
        <v>5.0865767547168391E-3</v>
      </c>
      <c r="AT220" s="28">
        <f t="shared" si="225"/>
        <v>0.67198044296107007</v>
      </c>
      <c r="AU220" s="28">
        <f t="shared" si="226"/>
        <v>0.98155267365430021</v>
      </c>
      <c r="AV220" s="40">
        <f t="shared" si="227"/>
        <v>0.82821229731774615</v>
      </c>
      <c r="AW220" s="25">
        <f t="shared" si="228"/>
        <v>5.0865767547168391E-3</v>
      </c>
      <c r="AX220" s="28">
        <f t="shared" si="229"/>
        <v>0.15623185435667614</v>
      </c>
      <c r="AY220" s="25">
        <f t="shared" si="230"/>
        <v>4.2868337967942264E-3</v>
      </c>
      <c r="AZ220" s="25">
        <f t="shared" si="231"/>
        <v>4.295467478075801E-3</v>
      </c>
      <c r="BA220" s="25">
        <f t="shared" si="203"/>
        <v>0.29162593753665444</v>
      </c>
      <c r="BB220" s="25">
        <f t="shared" si="204"/>
        <v>1.2256460310158979E-3</v>
      </c>
      <c r="BC220" s="25">
        <f t="shared" si="205"/>
        <v>-8.1344762855551471E-3</v>
      </c>
      <c r="BD220" s="39">
        <f t="shared" si="200"/>
        <v>0</v>
      </c>
      <c r="BE220" t="str">
        <f t="shared" si="232"/>
        <v/>
      </c>
      <c r="BF220" t="str">
        <f t="shared" si="233"/>
        <v/>
      </c>
      <c r="BG220" t="str">
        <f t="shared" si="234"/>
        <v/>
      </c>
      <c r="BH220" t="str">
        <f t="shared" si="235"/>
        <v/>
      </c>
      <c r="BI220">
        <f t="shared" si="236"/>
        <v>1</v>
      </c>
      <c r="BJ220" s="25">
        <f t="shared" si="238"/>
        <v>9.9403845947005297E-4</v>
      </c>
    </row>
    <row r="221" spans="1:63">
      <c r="A221" s="1">
        <v>42830</v>
      </c>
      <c r="B221" s="41">
        <f t="shared" si="23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52"/>
        <v>3241.9607100000003</v>
      </c>
      <c r="T221" t="str">
        <f t="shared" si="184"/>
        <v>熊</v>
      </c>
      <c r="U221">
        <f t="shared" si="185"/>
        <v>3270.6453000000001</v>
      </c>
      <c r="V221">
        <f t="shared" si="186"/>
        <v>3233.2525000000001</v>
      </c>
      <c r="W221" s="40">
        <f t="shared" si="164"/>
        <v>1.1498708361113219E-2</v>
      </c>
      <c r="X221">
        <f t="shared" si="187"/>
        <v>1459</v>
      </c>
      <c r="Y221">
        <f t="shared" si="188"/>
        <v>950</v>
      </c>
      <c r="Z221" s="25">
        <f t="shared" si="206"/>
        <v>1.155646654254777E-2</v>
      </c>
      <c r="AA221" s="25">
        <f t="shared" si="207"/>
        <v>4.0435072331527506E-3</v>
      </c>
      <c r="AB221" s="25">
        <f t="shared" si="208"/>
        <v>-1.3692425101535284E-4</v>
      </c>
      <c r="AC221" s="25">
        <f t="shared" si="209"/>
        <v>1.1361784110097839E-2</v>
      </c>
      <c r="AD221" s="25">
        <f t="shared" si="210"/>
        <v>1.075428648200156E-2</v>
      </c>
      <c r="AE221" s="25">
        <f t="shared" si="211"/>
        <v>-7.4442187911169294E-4</v>
      </c>
      <c r="AF221" s="25">
        <f t="shared" si="212"/>
        <v>1.0617362230986218E-2</v>
      </c>
      <c r="AG221" s="25">
        <f t="shared" si="213"/>
        <v>1.4660869464138927E-2</v>
      </c>
      <c r="AH221" s="25">
        <f t="shared" si="214"/>
        <v>1.792277145730085E-3</v>
      </c>
      <c r="AI221" s="25">
        <f t="shared" si="215"/>
        <v>4.5773067857320956E-4</v>
      </c>
      <c r="AJ221" s="25">
        <f t="shared" si="216"/>
        <v>1.2542891780805748E-3</v>
      </c>
      <c r="AK221" s="25">
        <f t="shared" si="217"/>
        <v>6.4722746383097142E-3</v>
      </c>
      <c r="AL221" s="25">
        <f t="shared" si="218"/>
        <v>8.8213737888628088E-3</v>
      </c>
      <c r="AM221" s="25">
        <f t="shared" si="219"/>
        <v>4.3993164433059253E-3</v>
      </c>
      <c r="AN221" s="25">
        <f t="shared" si="220"/>
        <v>0</v>
      </c>
      <c r="AO221" s="40">
        <f t="shared" si="221"/>
        <v>8.4048045406468097E-2</v>
      </c>
      <c r="AP221" s="40">
        <f t="shared" si="222"/>
        <v>-0.37172707249047438</v>
      </c>
      <c r="AQ221" s="25">
        <f t="shared" si="223"/>
        <v>1.0310613536081091E-4</v>
      </c>
      <c r="AR221" s="25">
        <f t="shared" si="224"/>
        <v>4.1450875926764569E-3</v>
      </c>
      <c r="AS221" s="25">
        <f t="shared" si="239"/>
        <v>1.0617362230986218E-2</v>
      </c>
      <c r="AT221" s="28">
        <f t="shared" si="225"/>
        <v>0.81743513486155084</v>
      </c>
      <c r="AU221" s="28">
        <f t="shared" si="226"/>
        <v>0.96880963989692026</v>
      </c>
      <c r="AV221" s="40">
        <f t="shared" si="227"/>
        <v>0.98802443251107397</v>
      </c>
      <c r="AW221" s="25">
        <f t="shared" si="228"/>
        <v>1.0617362230986218E-2</v>
      </c>
      <c r="AX221" s="28">
        <f t="shared" si="229"/>
        <v>0.36175948310904676</v>
      </c>
      <c r="AY221" s="25">
        <f t="shared" si="230"/>
        <v>7.2166965174213539E-3</v>
      </c>
      <c r="AZ221" s="25">
        <f t="shared" si="231"/>
        <v>4.2623921922905631E-3</v>
      </c>
      <c r="BA221" s="25">
        <f t="shared" si="203"/>
        <v>0.82821229731774615</v>
      </c>
      <c r="BB221" s="25">
        <f t="shared" si="204"/>
        <v>9.9403845947005297E-4</v>
      </c>
      <c r="BC221" s="25">
        <f t="shared" si="205"/>
        <v>5.0865767547168391E-3</v>
      </c>
      <c r="BD221" s="39">
        <f t="shared" si="200"/>
        <v>0</v>
      </c>
      <c r="BE221" t="str">
        <f t="shared" si="232"/>
        <v/>
      </c>
      <c r="BF221" t="str">
        <f t="shared" si="233"/>
        <v/>
      </c>
      <c r="BG221">
        <f t="shared" si="234"/>
        <v>0.5</v>
      </c>
      <c r="BH221" t="str">
        <f t="shared" si="235"/>
        <v/>
      </c>
      <c r="BI221" t="str">
        <f t="shared" si="236"/>
        <v/>
      </c>
      <c r="BJ221" s="25">
        <f t="shared" si="238"/>
        <v>2.0725437963382285E-3</v>
      </c>
    </row>
    <row r="222" spans="1:63">
      <c r="A222" s="1">
        <v>42831</v>
      </c>
      <c r="B222" s="41">
        <f t="shared" si="23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52"/>
        <v>3243.7775850000003</v>
      </c>
      <c r="T222" t="str">
        <f t="shared" si="184"/>
        <v>牛</v>
      </c>
      <c r="U222">
        <f t="shared" si="185"/>
        <v>3286.6206000000002</v>
      </c>
      <c r="V222">
        <f t="shared" si="186"/>
        <v>3265.7952</v>
      </c>
      <c r="W222" s="40">
        <f t="shared" si="164"/>
        <v>6.3565777137296374E-3</v>
      </c>
      <c r="X222">
        <f t="shared" si="187"/>
        <v>1355</v>
      </c>
      <c r="Y222">
        <f t="shared" si="188"/>
        <v>1019</v>
      </c>
      <c r="Z222" s="25">
        <f t="shared" si="206"/>
        <v>6.3643564257190033E-3</v>
      </c>
      <c r="AA222" s="25">
        <f t="shared" si="207"/>
        <v>6.0989945000199054E-4</v>
      </c>
      <c r="AB222" s="25">
        <f t="shared" si="208"/>
        <v>-1.529730419602986E-3</v>
      </c>
      <c r="AC222" s="25">
        <f t="shared" si="209"/>
        <v>4.8268472941265603E-3</v>
      </c>
      <c r="AD222" s="25">
        <f t="shared" si="210"/>
        <v>4.3995835322036539E-3</v>
      </c>
      <c r="AE222" s="25">
        <f t="shared" si="211"/>
        <v>-1.9569941815259276E-3</v>
      </c>
      <c r="AF222" s="25">
        <f t="shared" si="212"/>
        <v>2.8698531126007502E-3</v>
      </c>
      <c r="AG222" s="25">
        <f t="shared" si="213"/>
        <v>3.4797525626025943E-3</v>
      </c>
      <c r="AH222" s="25">
        <f t="shared" si="214"/>
        <v>-1.4612807091237718E-3</v>
      </c>
      <c r="AI222" s="25">
        <f t="shared" si="215"/>
        <v>-1.0111789620086166E-3</v>
      </c>
      <c r="AJ222" s="25">
        <f t="shared" si="216"/>
        <v>-3.7997035551342229E-4</v>
      </c>
      <c r="AK222" s="25">
        <f t="shared" si="217"/>
        <v>4.7962444902033204E-4</v>
      </c>
      <c r="AL222" s="25">
        <f t="shared" si="218"/>
        <v>4.0201462729573091E-3</v>
      </c>
      <c r="AM222" s="25">
        <f t="shared" si="219"/>
        <v>3.9241438794489977E-3</v>
      </c>
      <c r="AN222" s="25">
        <f t="shared" si="220"/>
        <v>0</v>
      </c>
      <c r="AO222" s="40">
        <f t="shared" si="221"/>
        <v>0.48629460145641984</v>
      </c>
      <c r="AP222" s="40">
        <f t="shared" si="222"/>
        <v>0.3346382474117216</v>
      </c>
      <c r="AQ222" s="25">
        <f t="shared" si="223"/>
        <v>4.655027025297906E-4</v>
      </c>
      <c r="AR222" s="25">
        <f t="shared" si="224"/>
        <v>2.390228663580303E-3</v>
      </c>
      <c r="AS222" s="25">
        <f t="shared" ref="AS222:AS238" si="240">LN(N222/C222)</f>
        <v>2.8698531126007502E-3</v>
      </c>
      <c r="AT222" s="28">
        <f t="shared" si="225"/>
        <v>0.60562202593611658</v>
      </c>
      <c r="AU222" s="28">
        <f t="shared" si="226"/>
        <v>0.60970796852054832</v>
      </c>
      <c r="AV222" s="40">
        <f t="shared" si="227"/>
        <v>0.75876573799301095</v>
      </c>
      <c r="AW222" s="25">
        <f t="shared" si="228"/>
        <v>2.8698531126007502E-3</v>
      </c>
      <c r="AX222" s="28">
        <f t="shared" si="229"/>
        <v>0.37619445484839031</v>
      </c>
      <c r="AY222" s="25">
        <f t="shared" si="230"/>
        <v>2.4366186305463172E-3</v>
      </c>
      <c r="AZ222" s="25">
        <f t="shared" si="231"/>
        <v>2.3944134598458326E-3</v>
      </c>
      <c r="BA222" s="25">
        <f t="shared" si="203"/>
        <v>0.98802443251107397</v>
      </c>
      <c r="BB222" s="25">
        <f t="shared" si="204"/>
        <v>4.1450875926764569E-3</v>
      </c>
      <c r="BC222" s="25">
        <f t="shared" si="205"/>
        <v>1.0617362230986218E-2</v>
      </c>
      <c r="BD222" s="39">
        <f t="shared" si="200"/>
        <v>0</v>
      </c>
      <c r="BE222" t="str">
        <f t="shared" si="232"/>
        <v/>
      </c>
      <c r="BF222" t="str">
        <f t="shared" si="233"/>
        <v/>
      </c>
      <c r="BG222" t="str">
        <f t="shared" si="234"/>
        <v/>
      </c>
      <c r="BH222">
        <f t="shared" si="235"/>
        <v>0</v>
      </c>
      <c r="BI222" t="str">
        <f t="shared" si="236"/>
        <v/>
      </c>
      <c r="BJ222" s="25" t="str">
        <f t="shared" si="238"/>
        <v/>
      </c>
    </row>
    <row r="223" spans="1:63">
      <c r="A223" s="1">
        <v>42832</v>
      </c>
      <c r="B223" s="41">
        <f t="shared" si="23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52"/>
        <v>3245.7369250000002</v>
      </c>
      <c r="T223" t="str">
        <f t="shared" si="184"/>
        <v>牛</v>
      </c>
      <c r="U223">
        <f t="shared" si="185"/>
        <v>3295.0751</v>
      </c>
      <c r="V223">
        <f t="shared" si="186"/>
        <v>3275.1606000000002</v>
      </c>
      <c r="W223" s="40">
        <f t="shared" si="164"/>
        <v>6.062053751168207E-3</v>
      </c>
      <c r="X223">
        <f t="shared" si="187"/>
        <v>1349</v>
      </c>
      <c r="Y223">
        <f t="shared" si="188"/>
        <v>1011</v>
      </c>
      <c r="Z223" s="25">
        <f t="shared" si="206"/>
        <v>6.0703392424836817E-3</v>
      </c>
      <c r="AA223" s="25">
        <f t="shared" si="207"/>
        <v>-2.9651547901396273E-4</v>
      </c>
      <c r="AB223" s="25">
        <f t="shared" si="208"/>
        <v>-2.4472459152527141E-3</v>
      </c>
      <c r="AC223" s="25">
        <f t="shared" si="209"/>
        <v>3.6148078359154903E-3</v>
      </c>
      <c r="AD223" s="25">
        <f t="shared" si="210"/>
        <v>4.3953420815820909E-3</v>
      </c>
      <c r="AE223" s="25">
        <f t="shared" si="211"/>
        <v>-1.6667116695861588E-3</v>
      </c>
      <c r="AF223" s="25">
        <f t="shared" si="212"/>
        <v>1.9480961663293612E-3</v>
      </c>
      <c r="AG223" s="25">
        <f t="shared" si="213"/>
        <v>1.6515806873154553E-3</v>
      </c>
      <c r="AH223" s="25">
        <f t="shared" si="214"/>
        <v>-1.1303932715197463E-3</v>
      </c>
      <c r="AI223" s="25">
        <f t="shared" si="215"/>
        <v>-2.8800498761406444E-4</v>
      </c>
      <c r="AJ223" s="25">
        <f t="shared" si="216"/>
        <v>-3.9829624614343178E-4</v>
      </c>
      <c r="AK223" s="25">
        <f t="shared" si="217"/>
        <v>2.5783163670565139E-3</v>
      </c>
      <c r="AL223" s="25">
        <f t="shared" si="218"/>
        <v>4.2450280366424873E-3</v>
      </c>
      <c r="AM223" s="25">
        <f t="shared" si="219"/>
        <v>3.7232568396813616E-3</v>
      </c>
      <c r="AN223" s="25">
        <f t="shared" si="220"/>
        <v>0</v>
      </c>
      <c r="AO223" s="40">
        <f t="shared" si="221"/>
        <v>0.39212069448132469</v>
      </c>
      <c r="AP223" s="40">
        <f t="shared" si="222"/>
        <v>0.46194922735720412</v>
      </c>
      <c r="AQ223" s="25">
        <f t="shared" si="223"/>
        <v>-2.7084078897677676E-4</v>
      </c>
      <c r="AR223" s="25">
        <f t="shared" si="224"/>
        <v>-6.3022020072703343E-4</v>
      </c>
      <c r="AS223" s="25">
        <f t="shared" si="240"/>
        <v>1.9480961663293612E-3</v>
      </c>
      <c r="AT223" s="28">
        <f t="shared" si="225"/>
        <v>1</v>
      </c>
      <c r="AU223" s="28">
        <f t="shared" si="226"/>
        <v>0.34229437512249633</v>
      </c>
      <c r="AV223" s="40">
        <f t="shared" si="227"/>
        <v>0.59557106630846146</v>
      </c>
      <c r="AW223" s="25">
        <f t="shared" si="228"/>
        <v>1.9480961663293612E-3</v>
      </c>
      <c r="AX223" s="28">
        <f t="shared" si="229"/>
        <v>-0.1040548344171373</v>
      </c>
      <c r="AY223" s="25">
        <f t="shared" si="230"/>
        <v>4.2450280366424873E-3</v>
      </c>
      <c r="AZ223" s="25">
        <f t="shared" si="231"/>
        <v>1.276010924428651E-3</v>
      </c>
      <c r="BA223" s="25">
        <f t="shared" si="203"/>
        <v>0.75876573799301095</v>
      </c>
      <c r="BB223" s="25">
        <f t="shared" si="204"/>
        <v>2.390228663580303E-3</v>
      </c>
      <c r="BC223" s="25">
        <f t="shared" si="205"/>
        <v>2.8698531126007502E-3</v>
      </c>
      <c r="BD223" s="39">
        <f t="shared" si="200"/>
        <v>0</v>
      </c>
      <c r="BE223" t="str">
        <f t="shared" si="232"/>
        <v/>
      </c>
      <c r="BF223" t="str">
        <f t="shared" si="233"/>
        <v/>
      </c>
      <c r="BG223" t="str">
        <f t="shared" si="234"/>
        <v/>
      </c>
      <c r="BH223" t="str">
        <f t="shared" si="235"/>
        <v/>
      </c>
      <c r="BI223">
        <f t="shared" si="236"/>
        <v>0</v>
      </c>
      <c r="BJ223" s="25" t="str">
        <f t="shared" si="238"/>
        <v/>
      </c>
    </row>
    <row r="224" spans="1:63" ht="54">
      <c r="A224" s="1">
        <v>42835</v>
      </c>
      <c r="B224" s="41">
        <f t="shared" si="23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52"/>
        <v>3248.0288</v>
      </c>
      <c r="T224" t="str">
        <f t="shared" si="184"/>
        <v>牛</v>
      </c>
      <c r="U224">
        <f t="shared" si="185"/>
        <v>3285.4594000000002</v>
      </c>
      <c r="V224">
        <f t="shared" si="186"/>
        <v>3265.2836000000002</v>
      </c>
      <c r="W224" s="40">
        <f t="shared" si="164"/>
        <v>6.1598703523687648E-3</v>
      </c>
      <c r="X224">
        <f t="shared" si="187"/>
        <v>930</v>
      </c>
      <c r="Y224">
        <f t="shared" si="188"/>
        <v>1432</v>
      </c>
      <c r="Z224" s="25">
        <f t="shared" si="206"/>
        <v>6.1409372460971452E-3</v>
      </c>
      <c r="AA224" s="25">
        <f t="shared" si="207"/>
        <v>-4.752239369567729E-4</v>
      </c>
      <c r="AB224" s="25">
        <f t="shared" si="208"/>
        <v>-4.6798696280774396E-3</v>
      </c>
      <c r="AC224" s="25">
        <f t="shared" si="209"/>
        <v>1.4800007242913155E-3</v>
      </c>
      <c r="AD224" s="25">
        <f t="shared" si="210"/>
        <v>0</v>
      </c>
      <c r="AE224" s="25">
        <f t="shared" si="211"/>
        <v>-6.1598703523687995E-3</v>
      </c>
      <c r="AF224" s="25">
        <f t="shared" si="212"/>
        <v>-4.6798696280774396E-3</v>
      </c>
      <c r="AG224" s="25">
        <f t="shared" si="213"/>
        <v>-5.1550935650342133E-3</v>
      </c>
      <c r="AH224" s="25">
        <f t="shared" si="214"/>
        <v>-1.1432941247604862E-3</v>
      </c>
      <c r="AI224" s="25">
        <f t="shared" si="215"/>
        <v>-2.0982231978231756E-3</v>
      </c>
      <c r="AJ224" s="25">
        <f t="shared" si="216"/>
        <v>-3.2731129835429063E-3</v>
      </c>
      <c r="AK224" s="25">
        <f t="shared" si="217"/>
        <v>-2.6221553822381679E-3</v>
      </c>
      <c r="AL224" s="25">
        <f t="shared" si="218"/>
        <v>3.7967446656660977E-3</v>
      </c>
      <c r="AM224" s="25">
        <f t="shared" si="219"/>
        <v>4.5044247188125346E-3</v>
      </c>
      <c r="AN224" s="25">
        <f t="shared" si="220"/>
        <v>0</v>
      </c>
      <c r="AO224" s="40">
        <f t="shared" si="221"/>
        <v>1</v>
      </c>
      <c r="AP224" s="40">
        <f t="shared" si="222"/>
        <v>1.1254337210049254</v>
      </c>
      <c r="AQ224" s="25">
        <f t="shared" si="223"/>
        <v>3.2294040568701184E-4</v>
      </c>
      <c r="AR224" s="25">
        <f t="shared" si="224"/>
        <v>-2.0577142458393298E-3</v>
      </c>
      <c r="AS224" s="25">
        <f t="shared" si="240"/>
        <v>-4.6798696280774396E-3</v>
      </c>
      <c r="AT224" s="28">
        <f t="shared" si="225"/>
        <v>0.30896196106149215</v>
      </c>
      <c r="AU224" s="28">
        <f t="shared" si="226"/>
        <v>0.32806924715425761</v>
      </c>
      <c r="AV224" s="40">
        <f t="shared" si="227"/>
        <v>0.23970301053736356</v>
      </c>
      <c r="AW224" s="25">
        <f t="shared" si="228"/>
        <v>-4.6798696280774396E-3</v>
      </c>
      <c r="AX224" s="28">
        <f t="shared" si="229"/>
        <v>-0.33386036737081726</v>
      </c>
      <c r="AY224" s="25">
        <f t="shared" si="230"/>
        <v>1.1745892834279608E-3</v>
      </c>
      <c r="AZ224" s="25">
        <f t="shared" si="231"/>
        <v>1.4800007242913155E-3</v>
      </c>
      <c r="BA224" s="25">
        <f t="shared" si="203"/>
        <v>0.59557106630846146</v>
      </c>
      <c r="BB224" s="25">
        <f t="shared" si="204"/>
        <v>-6.3022020072703343E-4</v>
      </c>
      <c r="BC224" s="25">
        <f t="shared" si="205"/>
        <v>1.9480961663293612E-3</v>
      </c>
      <c r="BD224" s="39">
        <f t="shared" si="200"/>
        <v>1</v>
      </c>
      <c r="BE224" t="str">
        <f t="shared" si="232"/>
        <v/>
      </c>
      <c r="BF224" t="str">
        <f t="shared" si="233"/>
        <v/>
      </c>
      <c r="BG224" t="str">
        <f t="shared" si="234"/>
        <v/>
      </c>
      <c r="BH224" t="str">
        <f t="shared" si="235"/>
        <v/>
      </c>
      <c r="BI224" t="str">
        <f t="shared" si="236"/>
        <v/>
      </c>
      <c r="BJ224" s="25" t="str">
        <f t="shared" si="238"/>
        <v/>
      </c>
      <c r="BK224" s="50" t="s">
        <v>301</v>
      </c>
    </row>
    <row r="225" spans="1:63">
      <c r="A225" s="1">
        <f>A224+1</f>
        <v>42836</v>
      </c>
      <c r="B225" s="41">
        <f t="shared" si="23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52"/>
        <v>3250.7057500000001</v>
      </c>
      <c r="T225" t="str">
        <f t="shared" si="184"/>
        <v>牛</v>
      </c>
      <c r="U225">
        <f t="shared" si="185"/>
        <v>3290.1120999999998</v>
      </c>
      <c r="V225">
        <f t="shared" si="186"/>
        <v>3244.4351000000001</v>
      </c>
      <c r="W225" s="40">
        <f t="shared" ref="W225:W238" si="241">LN(U225/V225)</f>
        <v>1.398038534825624E-2</v>
      </c>
      <c r="X225">
        <f t="shared" si="187"/>
        <v>1451</v>
      </c>
      <c r="Y225">
        <f t="shared" si="188"/>
        <v>1334</v>
      </c>
      <c r="Z225" s="25">
        <f t="shared" si="206"/>
        <v>1.3984659156195015E-2</v>
      </c>
      <c r="AA225" s="25">
        <f t="shared" si="207"/>
        <v>-1.1926856461813003E-3</v>
      </c>
      <c r="AB225" s="25">
        <f t="shared" si="208"/>
        <v>-5.8312884686009315E-4</v>
      </c>
      <c r="AC225" s="25">
        <f t="shared" si="209"/>
        <v>1.3397256501396204E-2</v>
      </c>
      <c r="AD225" s="25">
        <f t="shared" si="210"/>
        <v>7.2877024676164023E-3</v>
      </c>
      <c r="AE225" s="25">
        <f t="shared" si="211"/>
        <v>-6.6926828806397358E-3</v>
      </c>
      <c r="AF225" s="25">
        <f t="shared" si="212"/>
        <v>6.7045736207564108E-3</v>
      </c>
      <c r="AG225" s="25">
        <f t="shared" si="213"/>
        <v>5.5118879745749911E-3</v>
      </c>
      <c r="AH225" s="25">
        <f t="shared" si="214"/>
        <v>-2.1963565157948173E-4</v>
      </c>
      <c r="AI225" s="25">
        <f t="shared" si="215"/>
        <v>1.5593328166582819E-3</v>
      </c>
      <c r="AJ225" s="25">
        <f t="shared" si="216"/>
        <v>2.7580385341430609E-3</v>
      </c>
      <c r="AK225" s="25">
        <f t="shared" si="217"/>
        <v>-3.6766482223329687E-3</v>
      </c>
      <c r="AL225" s="25">
        <f t="shared" si="218"/>
        <v>9.2267363965419045E-3</v>
      </c>
      <c r="AM225" s="25">
        <f t="shared" si="219"/>
        <v>1.398038534825624E-2</v>
      </c>
      <c r="AN225" s="25">
        <f t="shared" si="220"/>
        <v>0</v>
      </c>
      <c r="AO225" s="40">
        <f t="shared" si="221"/>
        <v>0.47826317745103514</v>
      </c>
      <c r="AP225" s="40">
        <f t="shared" si="222"/>
        <v>0.60757935665374996</v>
      </c>
      <c r="AQ225" s="25">
        <f t="shared" si="223"/>
        <v>9.837103797762732E-4</v>
      </c>
      <c r="AR225" s="25">
        <f t="shared" si="224"/>
        <v>1.0381221843089388E-2</v>
      </c>
      <c r="AS225" s="25">
        <f t="shared" si="240"/>
        <v>6.7045736207564108E-3</v>
      </c>
      <c r="AT225" s="28">
        <f t="shared" si="225"/>
        <v>8.0594113275659032E-2</v>
      </c>
      <c r="AU225" s="28">
        <f t="shared" si="226"/>
        <v>0.95800950149966768</v>
      </c>
      <c r="AV225" s="40">
        <f t="shared" si="227"/>
        <v>0.95800950149966768</v>
      </c>
      <c r="AW225" s="25">
        <f t="shared" si="228"/>
        <v>6.7045736207564108E-3</v>
      </c>
      <c r="AX225" s="28">
        <f t="shared" si="229"/>
        <v>0.74345731987653141</v>
      </c>
      <c r="AY225" s="25">
        <f t="shared" si="230"/>
        <v>7.4678289778989037E-4</v>
      </c>
      <c r="AZ225" s="25">
        <f t="shared" si="231"/>
        <v>1.3397256501396204E-2</v>
      </c>
      <c r="BA225" s="25">
        <f t="shared" si="203"/>
        <v>0.23970301053736356</v>
      </c>
      <c r="BB225" s="25">
        <f t="shared" si="204"/>
        <v>-2.0577142458393298E-3</v>
      </c>
      <c r="BC225" s="25">
        <f t="shared" si="205"/>
        <v>-4.6798696280774396E-3</v>
      </c>
      <c r="BD225" s="39">
        <f t="shared" si="200"/>
        <v>1</v>
      </c>
      <c r="BE225">
        <f t="shared" si="232"/>
        <v>0</v>
      </c>
      <c r="BF225">
        <f t="shared" si="233"/>
        <v>0</v>
      </c>
      <c r="BG225" t="str">
        <f t="shared" si="234"/>
        <v/>
      </c>
      <c r="BH225" t="str">
        <f t="shared" si="235"/>
        <v/>
      </c>
      <c r="BI225" t="str">
        <f t="shared" si="236"/>
        <v/>
      </c>
      <c r="BJ225" s="25" t="str">
        <f t="shared" si="238"/>
        <v/>
      </c>
      <c r="BK225" s="50" t="s">
        <v>304</v>
      </c>
    </row>
    <row r="226" spans="1:63">
      <c r="A226" s="1">
        <f>A225+1</f>
        <v>42837</v>
      </c>
      <c r="B226" s="41">
        <f t="shared" si="23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52"/>
        <v>3254.4940749999996</v>
      </c>
      <c r="T226" t="str">
        <f t="shared" si="184"/>
        <v>牛</v>
      </c>
      <c r="U226">
        <f t="shared" si="185"/>
        <v>3284.8427999999999</v>
      </c>
      <c r="V226">
        <f t="shared" si="186"/>
        <v>3262.2773000000002</v>
      </c>
      <c r="W226" s="40">
        <f t="shared" si="241"/>
        <v>6.8932871277047883E-3</v>
      </c>
      <c r="X226">
        <f t="shared" si="187"/>
        <v>1032</v>
      </c>
      <c r="Y226">
        <f t="shared" si="188"/>
        <v>1455</v>
      </c>
      <c r="Z226" s="25">
        <f t="shared" si="206"/>
        <v>6.871687202247987E-3</v>
      </c>
      <c r="AA226" s="25">
        <f t="shared" si="207"/>
        <v>-1.3259829840772054E-3</v>
      </c>
      <c r="AB226" s="25">
        <f t="shared" si="208"/>
        <v>-3.1445717271244384E-3</v>
      </c>
      <c r="AC226" s="25">
        <f t="shared" si="209"/>
        <v>3.7487154005803394E-3</v>
      </c>
      <c r="AD226" s="25">
        <f t="shared" si="210"/>
        <v>3.0627159606000143E-4</v>
      </c>
      <c r="AE226" s="25">
        <f t="shared" si="211"/>
        <v>-6.587015531644775E-3</v>
      </c>
      <c r="AF226" s="25">
        <f t="shared" si="212"/>
        <v>-2.838300131064439E-3</v>
      </c>
      <c r="AG226" s="25">
        <f t="shared" si="213"/>
        <v>-4.1642831151416128E-3</v>
      </c>
      <c r="AH226" s="25">
        <f t="shared" si="214"/>
        <v>-2.1522384765999877E-3</v>
      </c>
      <c r="AI226" s="25">
        <f t="shared" si="215"/>
        <v>-2.3544392981693072E-3</v>
      </c>
      <c r="AJ226" s="25">
        <f t="shared" si="216"/>
        <v>-3.2099950981256085E-3</v>
      </c>
      <c r="AK226" s="25">
        <f t="shared" si="217"/>
        <v>-1.6169470878200369E-3</v>
      </c>
      <c r="AL226" s="25">
        <f t="shared" si="218"/>
        <v>4.4591508189335324E-3</v>
      </c>
      <c r="AM226" s="25">
        <f t="shared" si="219"/>
        <v>6.501380328361183E-3</v>
      </c>
      <c r="AN226" s="25">
        <f t="shared" si="220"/>
        <v>0</v>
      </c>
      <c r="AO226" s="40">
        <f t="shared" si="221"/>
        <v>0.93117345193293699</v>
      </c>
      <c r="AP226" s="40">
        <f t="shared" si="222"/>
        <v>1.2293055080397068</v>
      </c>
      <c r="AQ226" s="25">
        <f t="shared" si="223"/>
        <v>-1.2231834208678113E-4</v>
      </c>
      <c r="AR226" s="25">
        <f t="shared" si="224"/>
        <v>-1.221353043244372E-3</v>
      </c>
      <c r="AS226" s="25">
        <f t="shared" si="240"/>
        <v>-2.838300131064439E-3</v>
      </c>
      <c r="AT226" s="28">
        <f t="shared" si="225"/>
        <v>0.56815600410536138</v>
      </c>
      <c r="AU226" s="28">
        <f t="shared" si="226"/>
        <v>0.57580927137377935</v>
      </c>
      <c r="AV226" s="40">
        <f t="shared" si="227"/>
        <v>0.54296603221731454</v>
      </c>
      <c r="AW226" s="25">
        <f t="shared" si="228"/>
        <v>-2.838300131064439E-3</v>
      </c>
      <c r="AX226" s="28">
        <f t="shared" si="229"/>
        <v>-0.17734151691742064</v>
      </c>
      <c r="AY226" s="25">
        <f t="shared" si="230"/>
        <v>2.5359321350534778E-3</v>
      </c>
      <c r="AZ226" s="25">
        <f t="shared" si="231"/>
        <v>3.7487154005803394E-3</v>
      </c>
      <c r="BA226" s="25">
        <f t="shared" si="203"/>
        <v>0.95800950149966768</v>
      </c>
      <c r="BB226" s="25">
        <f t="shared" si="204"/>
        <v>1.0381221843089388E-2</v>
      </c>
      <c r="BC226" s="25">
        <f t="shared" si="205"/>
        <v>6.7045736207564108E-3</v>
      </c>
      <c r="BD226" s="39">
        <f t="shared" si="200"/>
        <v>0</v>
      </c>
      <c r="BE226" t="str">
        <f t="shared" si="232"/>
        <v/>
      </c>
      <c r="BF226" t="str">
        <f t="shared" si="233"/>
        <v/>
      </c>
      <c r="BG226">
        <f t="shared" si="234"/>
        <v>0</v>
      </c>
      <c r="BH226" t="str">
        <f t="shared" si="235"/>
        <v/>
      </c>
      <c r="BI226" t="str">
        <f t="shared" si="236"/>
        <v/>
      </c>
      <c r="BJ226" s="25" t="str">
        <f t="shared" si="238"/>
        <v/>
      </c>
    </row>
    <row r="227" spans="1:63">
      <c r="A227" s="1">
        <f>A226+1</f>
        <v>42838</v>
      </c>
      <c r="B227" s="41">
        <f t="shared" si="23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52"/>
        <v>3256.3694150000001</v>
      </c>
      <c r="T227" t="str">
        <f t="shared" si="184"/>
        <v>牛</v>
      </c>
      <c r="U227">
        <f t="shared" si="185"/>
        <v>3281.1369</v>
      </c>
      <c r="V227">
        <f t="shared" si="186"/>
        <v>3261.4901</v>
      </c>
      <c r="W227" s="40">
        <f t="shared" si="241"/>
        <v>6.0058013560600771E-3</v>
      </c>
      <c r="X227">
        <f t="shared" si="187"/>
        <v>1103</v>
      </c>
      <c r="Y227">
        <f t="shared" si="188"/>
        <v>930</v>
      </c>
      <c r="Z227" s="25">
        <f t="shared" si="206"/>
        <v>6.0169946993739818E-3</v>
      </c>
      <c r="AA227" s="25">
        <f t="shared" si="207"/>
        <v>-2.8476652982800431E-3</v>
      </c>
      <c r="AB227" s="25">
        <f t="shared" si="208"/>
        <v>-1.5443765557355E-3</v>
      </c>
      <c r="AC227" s="25">
        <f t="shared" si="209"/>
        <v>4.4614248003244997E-3</v>
      </c>
      <c r="AD227" s="25">
        <f t="shared" si="210"/>
        <v>4.8634183074561235E-3</v>
      </c>
      <c r="AE227" s="25">
        <f t="shared" si="211"/>
        <v>-1.142383048603982E-3</v>
      </c>
      <c r="AF227" s="25">
        <f t="shared" si="212"/>
        <v>3.3190417517207616E-3</v>
      </c>
      <c r="AG227" s="25">
        <f t="shared" si="213"/>
        <v>4.713764534406659E-4</v>
      </c>
      <c r="AH227" s="25">
        <f t="shared" si="214"/>
        <v>-4.6724485939921294E-4</v>
      </c>
      <c r="AI227" s="25">
        <f t="shared" si="215"/>
        <v>1.881319345684419E-3</v>
      </c>
      <c r="AJ227" s="25">
        <f t="shared" si="216"/>
        <v>1.7297504128191115E-3</v>
      </c>
      <c r="AK227" s="25">
        <f t="shared" si="217"/>
        <v>3.8689087320386106E-3</v>
      </c>
      <c r="AL227" s="25">
        <f t="shared" si="218"/>
        <v>6.0058013560600771E-3</v>
      </c>
      <c r="AM227" s="25">
        <f t="shared" si="219"/>
        <v>3.6345182406907293E-3</v>
      </c>
      <c r="AN227" s="25">
        <f t="shared" si="220"/>
        <v>0</v>
      </c>
      <c r="AO227" s="40">
        <f t="shared" si="221"/>
        <v>0.18975100270782358</v>
      </c>
      <c r="AP227" s="40">
        <f t="shared" si="222"/>
        <v>0.6636958690473701</v>
      </c>
      <c r="AQ227" s="25">
        <f t="shared" si="223"/>
        <v>2.1288964028234769E-4</v>
      </c>
      <c r="AR227" s="25">
        <f t="shared" si="224"/>
        <v>-5.4986698031802433E-4</v>
      </c>
      <c r="AS227" s="25">
        <f t="shared" si="240"/>
        <v>3.3190417517207616E-3</v>
      </c>
      <c r="AT227" s="28">
        <f t="shared" si="225"/>
        <v>0.83399332206771226</v>
      </c>
      <c r="AU227" s="28">
        <f t="shared" si="226"/>
        <v>0.58403972007760896</v>
      </c>
      <c r="AV227" s="40">
        <f t="shared" si="227"/>
        <v>0.74227864079646533</v>
      </c>
      <c r="AW227" s="25">
        <f t="shared" si="228"/>
        <v>3.3190417517207616E-3</v>
      </c>
      <c r="AX227" s="28">
        <f t="shared" si="229"/>
        <v>-9.1714681271246906E-2</v>
      </c>
      <c r="AY227" s="25">
        <f t="shared" si="230"/>
        <v>5.0112917806425447E-3</v>
      </c>
      <c r="AZ227" s="25">
        <f t="shared" si="231"/>
        <v>2.1243072557338176E-3</v>
      </c>
      <c r="BA227" s="25">
        <f t="shared" si="203"/>
        <v>0.54296603221731454</v>
      </c>
      <c r="BB227" s="25">
        <f t="shared" si="204"/>
        <v>-1.221353043244372E-3</v>
      </c>
      <c r="BC227" s="25">
        <f t="shared" si="205"/>
        <v>-2.838300131064439E-3</v>
      </c>
      <c r="BD227" s="39">
        <f t="shared" si="200"/>
        <v>1</v>
      </c>
      <c r="BE227" t="str">
        <f t="shared" si="232"/>
        <v/>
      </c>
      <c r="BF227" t="str">
        <f t="shared" si="233"/>
        <v/>
      </c>
      <c r="BG227" t="str">
        <f t="shared" si="234"/>
        <v/>
      </c>
      <c r="BH227">
        <f t="shared" si="235"/>
        <v>2</v>
      </c>
      <c r="BI227" t="str">
        <f t="shared" si="236"/>
        <v/>
      </c>
      <c r="BJ227" s="25">
        <f t="shared" si="238"/>
        <v>-1.0997339606360487E-3</v>
      </c>
    </row>
    <row r="228" spans="1:63">
      <c r="A228" s="1">
        <f>A227+1</f>
        <v>42839</v>
      </c>
      <c r="B228" s="41">
        <f t="shared" si="23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52"/>
        <v>3258.2420649999999</v>
      </c>
      <c r="T228" t="str">
        <f t="shared" si="184"/>
        <v>牛</v>
      </c>
      <c r="U228">
        <f t="shared" si="185"/>
        <v>3276.7112000000002</v>
      </c>
      <c r="V228">
        <f t="shared" si="186"/>
        <v>3238.8959</v>
      </c>
      <c r="W228" s="40">
        <f t="shared" si="241"/>
        <v>1.1607736322958544E-2</v>
      </c>
      <c r="X228">
        <f t="shared" si="187"/>
        <v>930</v>
      </c>
      <c r="Y228">
        <f t="shared" si="188"/>
        <v>1438</v>
      </c>
      <c r="Z228" s="25">
        <f t="shared" si="206"/>
        <v>1.1542645287144705E-2</v>
      </c>
      <c r="AA228" s="25">
        <f t="shared" si="207"/>
        <v>1.9718532900331586E-5</v>
      </c>
      <c r="AB228" s="25">
        <f t="shared" si="208"/>
        <v>-9.8841593742681842E-3</v>
      </c>
      <c r="AC228" s="25">
        <f t="shared" si="209"/>
        <v>1.7235769486904666E-3</v>
      </c>
      <c r="AD228" s="25">
        <f t="shared" si="210"/>
        <v>1.7491627694275327E-4</v>
      </c>
      <c r="AE228" s="25">
        <f t="shared" si="211"/>
        <v>-1.143282004601596E-2</v>
      </c>
      <c r="AF228" s="25">
        <f t="shared" si="212"/>
        <v>-9.709243097325489E-3</v>
      </c>
      <c r="AG228" s="25">
        <f t="shared" si="213"/>
        <v>-9.6895245644251313E-3</v>
      </c>
      <c r="AH228" s="25">
        <f t="shared" si="214"/>
        <v>-6.8088070954505989E-4</v>
      </c>
      <c r="AI228" s="25">
        <f t="shared" si="215"/>
        <v>-1.1814170558460111E-3</v>
      </c>
      <c r="AJ228" s="25">
        <f t="shared" si="216"/>
        <v>-1.1625923799835731E-3</v>
      </c>
      <c r="AK228" s="25">
        <f t="shared" si="217"/>
        <v>-4.4355823748008765E-3</v>
      </c>
      <c r="AL228" s="25">
        <f t="shared" si="218"/>
        <v>7.9218286467731599E-3</v>
      </c>
      <c r="AM228" s="25">
        <f t="shared" si="219"/>
        <v>7.0760599722646733E-3</v>
      </c>
      <c r="AN228" s="25">
        <f t="shared" si="220"/>
        <v>0</v>
      </c>
      <c r="AO228" s="40">
        <f t="shared" si="221"/>
        <v>0.97783407464706762</v>
      </c>
      <c r="AP228" s="40">
        <f t="shared" si="222"/>
        <v>0.97533552504350329</v>
      </c>
      <c r="AQ228" s="25">
        <f t="shared" si="223"/>
        <v>-1.3876579416428145E-3</v>
      </c>
      <c r="AR228" s="25">
        <f t="shared" si="224"/>
        <v>-5.2736607225245917E-3</v>
      </c>
      <c r="AS228" s="25">
        <f t="shared" si="240"/>
        <v>-9.709243097325489E-3</v>
      </c>
      <c r="AT228" s="28">
        <f t="shared" si="225"/>
        <v>0.41703732353509154</v>
      </c>
      <c r="AU228" s="28">
        <f t="shared" si="226"/>
        <v>0.24292714316150027</v>
      </c>
      <c r="AV228" s="40">
        <f t="shared" si="227"/>
        <v>0.14775236478356937</v>
      </c>
      <c r="AW228" s="25">
        <f t="shared" si="228"/>
        <v>-9.709243097325489E-3</v>
      </c>
      <c r="AX228" s="28">
        <f t="shared" si="229"/>
        <v>-0.45366557980499306</v>
      </c>
      <c r="AY228" s="25">
        <f t="shared" si="230"/>
        <v>3.3113299950294499E-3</v>
      </c>
      <c r="AZ228" s="25">
        <f t="shared" si="231"/>
        <v>1.7235769486904666E-3</v>
      </c>
      <c r="BA228" s="25">
        <f t="shared" si="203"/>
        <v>0.74227864079646533</v>
      </c>
      <c r="BB228" s="25">
        <f t="shared" si="204"/>
        <v>-5.4986698031802433E-4</v>
      </c>
      <c r="BC228" s="25">
        <f t="shared" si="205"/>
        <v>3.3190417517207616E-3</v>
      </c>
      <c r="BD228" s="39">
        <f t="shared" si="200"/>
        <v>1</v>
      </c>
      <c r="BE228" t="str">
        <f t="shared" si="232"/>
        <v/>
      </c>
      <c r="BF228" t="str">
        <f t="shared" si="233"/>
        <v/>
      </c>
      <c r="BG228" t="str">
        <f t="shared" si="234"/>
        <v/>
      </c>
      <c r="BH228" t="str">
        <f t="shared" si="235"/>
        <v/>
      </c>
      <c r="BI228">
        <f t="shared" si="236"/>
        <v>0</v>
      </c>
      <c r="BJ228" s="25" t="str">
        <f t="shared" si="238"/>
        <v/>
      </c>
    </row>
    <row r="229" spans="1:63" ht="54">
      <c r="A229" s="1">
        <v>42842</v>
      </c>
      <c r="B229" s="41">
        <f t="shared" si="23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52"/>
        <v>3258.3782250000004</v>
      </c>
      <c r="T229" t="str">
        <f t="shared" si="184"/>
        <v>熊</v>
      </c>
      <c r="U229">
        <f t="shared" si="185"/>
        <v>3229.9490999999998</v>
      </c>
      <c r="V229">
        <f t="shared" si="186"/>
        <v>3199.9650999999999</v>
      </c>
      <c r="W229" s="40">
        <f t="shared" si="241"/>
        <v>9.3264751002593606E-3</v>
      </c>
      <c r="X229">
        <f t="shared" si="187"/>
        <v>930</v>
      </c>
      <c r="Y229">
        <f t="shared" si="188"/>
        <v>1330</v>
      </c>
      <c r="Z229" s="25">
        <f t="shared" si="206"/>
        <v>9.2831184243739092E-3</v>
      </c>
      <c r="AA229" s="25">
        <f t="shared" si="207"/>
        <v>-4.4896984756862364E-3</v>
      </c>
      <c r="AB229" s="25">
        <f t="shared" si="208"/>
        <v>-2.5655577102592086E-3</v>
      </c>
      <c r="AC229" s="25">
        <f t="shared" si="209"/>
        <v>6.7609173900001155E-3</v>
      </c>
      <c r="AD229" s="25">
        <f t="shared" si="210"/>
        <v>0</v>
      </c>
      <c r="AE229" s="25">
        <f t="shared" si="211"/>
        <v>-9.3264751002592843E-3</v>
      </c>
      <c r="AF229" s="25">
        <f t="shared" si="212"/>
        <v>-2.5655577102592086E-3</v>
      </c>
      <c r="AG229" s="25">
        <f t="shared" si="213"/>
        <v>-7.0552561859455465E-3</v>
      </c>
      <c r="AH229" s="25">
        <f t="shared" si="214"/>
        <v>-1.8365750682485837E-3</v>
      </c>
      <c r="AI229" s="25">
        <f t="shared" si="215"/>
        <v>-1.3928490831719982E-3</v>
      </c>
      <c r="AJ229" s="25">
        <f t="shared" si="216"/>
        <v>-6.1012091344220393E-3</v>
      </c>
      <c r="AK229" s="25">
        <f t="shared" si="217"/>
        <v>-8.3125407416468795E-3</v>
      </c>
      <c r="AL229" s="25">
        <f t="shared" si="218"/>
        <v>8.6284299247789097E-3</v>
      </c>
      <c r="AM229" s="25">
        <f t="shared" si="219"/>
        <v>6.9709725069631431E-3</v>
      </c>
      <c r="AN229" s="25">
        <f t="shared" si="220"/>
        <v>0</v>
      </c>
      <c r="AO229" s="40">
        <f t="shared" si="221"/>
        <v>1</v>
      </c>
      <c r="AP229" s="40">
        <f t="shared" si="222"/>
        <v>1.5237607884826885</v>
      </c>
      <c r="AQ229" s="25">
        <f t="shared" si="223"/>
        <v>1.2250504394705462E-3</v>
      </c>
      <c r="AR229" s="25">
        <f t="shared" si="224"/>
        <v>5.7469830313875234E-3</v>
      </c>
      <c r="AS229" s="25">
        <f t="shared" si="240"/>
        <v>-2.5655577102592086E-3</v>
      </c>
      <c r="AT229" s="28">
        <f t="shared" si="225"/>
        <v>3.6458314564227198E-2</v>
      </c>
      <c r="AU229" s="28">
        <f t="shared" si="226"/>
        <v>0.96976519781279369</v>
      </c>
      <c r="AV229" s="40">
        <f t="shared" si="227"/>
        <v>0.72398612593383604</v>
      </c>
      <c r="AW229" s="25">
        <f t="shared" si="228"/>
        <v>-2.5655577102592086E-3</v>
      </c>
      <c r="AX229" s="28">
        <f t="shared" si="229"/>
        <v>0.61572171824973609</v>
      </c>
      <c r="AY229" s="25">
        <f t="shared" si="230"/>
        <v>3.1588918313186289E-4</v>
      </c>
      <c r="AZ229" s="25">
        <f t="shared" si="231"/>
        <v>6.7609173900001155E-3</v>
      </c>
      <c r="BA229" s="25">
        <f t="shared" si="203"/>
        <v>0.14775236478356937</v>
      </c>
      <c r="BB229" s="25">
        <f t="shared" si="204"/>
        <v>-5.2736607225245917E-3</v>
      </c>
      <c r="BC229" s="25">
        <f t="shared" si="205"/>
        <v>-9.709243097325489E-3</v>
      </c>
      <c r="BD229" s="39">
        <f t="shared" si="200"/>
        <v>1</v>
      </c>
      <c r="BE229" t="str">
        <f t="shared" si="232"/>
        <v/>
      </c>
      <c r="BF229" t="str">
        <f t="shared" si="233"/>
        <v/>
      </c>
      <c r="BG229" t="str">
        <f t="shared" si="234"/>
        <v/>
      </c>
      <c r="BH229" t="str">
        <f t="shared" si="235"/>
        <v/>
      </c>
      <c r="BI229" t="str">
        <f t="shared" si="236"/>
        <v/>
      </c>
      <c r="BJ229" s="25" t="str">
        <f t="shared" si="238"/>
        <v/>
      </c>
      <c r="BK229" s="50" t="s">
        <v>307</v>
      </c>
    </row>
    <row r="230" spans="1:63">
      <c r="A230" s="1">
        <v>42843</v>
      </c>
      <c r="B230" s="41">
        <f t="shared" si="23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52"/>
        <v>3255.9848300000003</v>
      </c>
      <c r="T230" t="str">
        <f t="shared" si="184"/>
        <v>熊</v>
      </c>
      <c r="U230">
        <f t="shared" si="185"/>
        <v>3225.0154000000002</v>
      </c>
      <c r="V230">
        <f t="shared" si="186"/>
        <v>3196.5171</v>
      </c>
      <c r="W230" s="40">
        <f t="shared" si="241"/>
        <v>8.8759146186715033E-3</v>
      </c>
      <c r="X230">
        <f t="shared" si="187"/>
        <v>1050</v>
      </c>
      <c r="Y230">
        <f t="shared" si="188"/>
        <v>1500</v>
      </c>
      <c r="Z230" s="25">
        <f t="shared" si="206"/>
        <v>8.8630754473407215E-3</v>
      </c>
      <c r="AA230" s="25">
        <f t="shared" si="207"/>
        <v>-1.9502048523444603E-3</v>
      </c>
      <c r="AB230" s="25">
        <f t="shared" si="208"/>
        <v>-8.8499179112422732E-3</v>
      </c>
      <c r="AC230" s="25">
        <f t="shared" si="209"/>
        <v>2.5996707429343864E-5</v>
      </c>
      <c r="AD230" s="25">
        <f t="shared" si="210"/>
        <v>2.9871093962701716E-3</v>
      </c>
      <c r="AE230" s="25">
        <f t="shared" si="211"/>
        <v>-5.8888052224012558E-3</v>
      </c>
      <c r="AF230" s="25">
        <f t="shared" si="212"/>
        <v>-5.8628085149719797E-3</v>
      </c>
      <c r="AG230" s="25">
        <f t="shared" si="213"/>
        <v>-7.8130133673163724E-3</v>
      </c>
      <c r="AH230" s="25">
        <f t="shared" si="214"/>
        <v>5.3158163356145129E-4</v>
      </c>
      <c r="AI230" s="25">
        <f t="shared" si="215"/>
        <v>1.062539097561154E-3</v>
      </c>
      <c r="AJ230" s="25">
        <f t="shared" si="216"/>
        <v>1.2627480455444388E-3</v>
      </c>
      <c r="AK230" s="25">
        <f t="shared" si="217"/>
        <v>9.7156979535041414E-4</v>
      </c>
      <c r="AL230" s="25">
        <f t="shared" si="218"/>
        <v>3.869940746521965E-3</v>
      </c>
      <c r="AM230" s="25">
        <f t="shared" si="219"/>
        <v>8.1384679973188854E-3</v>
      </c>
      <c r="AN230" s="25">
        <f t="shared" si="220"/>
        <v>0</v>
      </c>
      <c r="AO230" s="40">
        <f t="shared" si="221"/>
        <v>0.22778469072370536</v>
      </c>
      <c r="AP230" s="40">
        <f t="shared" si="222"/>
        <v>0.73168225424475675</v>
      </c>
      <c r="AQ230" s="25">
        <f t="shared" si="223"/>
        <v>5.0243366094447021E-4</v>
      </c>
      <c r="AR230" s="25">
        <f t="shared" si="224"/>
        <v>-6.8343783103224122E-3</v>
      </c>
      <c r="AS230" s="25">
        <f t="shared" si="240"/>
        <v>-5.8628085149719797E-3</v>
      </c>
      <c r="AT230" s="28">
        <f t="shared" si="225"/>
        <v>0.478697868582658</v>
      </c>
      <c r="AU230" s="28">
        <f t="shared" si="226"/>
        <v>3.1813605197306195E-3</v>
      </c>
      <c r="AV230" s="40">
        <f t="shared" si="227"/>
        <v>2.9159634083377119E-3</v>
      </c>
      <c r="AW230" s="25">
        <f t="shared" si="228"/>
        <v>-5.8628085149719797E-3</v>
      </c>
      <c r="AX230" s="28">
        <f t="shared" si="229"/>
        <v>-0.76922483095482797</v>
      </c>
      <c r="AY230" s="25">
        <f t="shared" si="230"/>
        <v>1.8544011456022591E-3</v>
      </c>
      <c r="AZ230" s="25">
        <f t="shared" si="231"/>
        <v>2.5996707429343864E-5</v>
      </c>
      <c r="BA230" s="25">
        <f t="shared" si="203"/>
        <v>0.72398612593383604</v>
      </c>
      <c r="BB230" s="25">
        <f t="shared" si="204"/>
        <v>5.7469830313875234E-3</v>
      </c>
      <c r="BC230" s="25">
        <f t="shared" si="205"/>
        <v>-2.5655577102592086E-3</v>
      </c>
      <c r="BD230" s="39">
        <f t="shared" si="200"/>
        <v>0</v>
      </c>
      <c r="BE230">
        <f t="shared" si="232"/>
        <v>1</v>
      </c>
      <c r="BF230">
        <f t="shared" si="233"/>
        <v>1</v>
      </c>
      <c r="BG230" t="str">
        <f t="shared" si="234"/>
        <v/>
      </c>
      <c r="BH230" t="str">
        <f t="shared" si="235"/>
        <v/>
      </c>
      <c r="BI230" t="str">
        <f t="shared" si="236"/>
        <v/>
      </c>
      <c r="BJ230" s="25">
        <f t="shared" si="238"/>
        <v>-6.8343783103224122E-3</v>
      </c>
    </row>
    <row r="231" spans="1:63">
      <c r="A231" s="1">
        <v>42844</v>
      </c>
      <c r="B231" s="41">
        <f t="shared" si="23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52"/>
        <v>3253.9492799999998</v>
      </c>
      <c r="T231" t="str">
        <f t="shared" si="184"/>
        <v>熊</v>
      </c>
      <c r="U231">
        <f t="shared" si="185"/>
        <v>3189.4367999999999</v>
      </c>
      <c r="V231">
        <f t="shared" si="186"/>
        <v>3147.1093999999998</v>
      </c>
      <c r="W231" s="40">
        <f t="shared" si="241"/>
        <v>1.3359968740880381E-2</v>
      </c>
      <c r="X231">
        <f t="shared" si="187"/>
        <v>934</v>
      </c>
      <c r="Y231">
        <f t="shared" si="188"/>
        <v>1342</v>
      </c>
      <c r="Z231" s="25">
        <f t="shared" si="206"/>
        <v>1.3291001316935629E-2</v>
      </c>
      <c r="AA231" s="25">
        <f t="shared" si="207"/>
        <v>-3.740390555655997E-3</v>
      </c>
      <c r="AB231" s="25">
        <f t="shared" si="208"/>
        <v>-5.700259936056596E-3</v>
      </c>
      <c r="AC231" s="25">
        <f t="shared" si="209"/>
        <v>7.659708804823806E-3</v>
      </c>
      <c r="AD231" s="25">
        <f t="shared" si="210"/>
        <v>1.4969325222899401E-3</v>
      </c>
      <c r="AE231" s="25">
        <f t="shared" si="211"/>
        <v>-1.1863036218590485E-2</v>
      </c>
      <c r="AF231" s="25">
        <f t="shared" si="212"/>
        <v>-4.2033274137666084E-3</v>
      </c>
      <c r="AG231" s="25">
        <f t="shared" si="213"/>
        <v>-7.9437179694225139E-3</v>
      </c>
      <c r="AH231" s="25">
        <f t="shared" si="214"/>
        <v>-8.0917192368962817E-4</v>
      </c>
      <c r="AI231" s="25">
        <f t="shared" si="215"/>
        <v>9.3071620105500603E-4</v>
      </c>
      <c r="AJ231" s="25">
        <f t="shared" si="216"/>
        <v>-3.4402427439887023E-3</v>
      </c>
      <c r="AK231" s="25">
        <f t="shared" si="217"/>
        <v>-6.647512997932389E-3</v>
      </c>
      <c r="AL231" s="25">
        <f t="shared" si="218"/>
        <v>1.2503739830074818E-2</v>
      </c>
      <c r="AM231" s="25">
        <f t="shared" si="219"/>
        <v>8.1851267818270901E-3</v>
      </c>
      <c r="AN231" s="25">
        <f t="shared" si="220"/>
        <v>0</v>
      </c>
      <c r="AO231" s="40">
        <f t="shared" si="221"/>
        <v>0.87962131228616147</v>
      </c>
      <c r="AP231" s="40">
        <f t="shared" si="222"/>
        <v>1.1807497047810303</v>
      </c>
      <c r="AQ231" s="25">
        <f t="shared" si="223"/>
        <v>-1.0112375994270621E-3</v>
      </c>
      <c r="AR231" s="25">
        <f t="shared" si="224"/>
        <v>2.4441855841657268E-3</v>
      </c>
      <c r="AS231" s="25">
        <f t="shared" si="240"/>
        <v>-4.2033274137666084E-3</v>
      </c>
      <c r="AT231" s="28">
        <f t="shared" si="225"/>
        <v>0.34722039988292586</v>
      </c>
      <c r="AU231" s="28">
        <f t="shared" si="226"/>
        <v>0.93556206795229857</v>
      </c>
      <c r="AV231" s="40">
        <f t="shared" si="227"/>
        <v>0.57169823802075947</v>
      </c>
      <c r="AW231" s="25">
        <f t="shared" si="228"/>
        <v>-4.2033274137666084E-3</v>
      </c>
      <c r="AX231" s="28">
        <f t="shared" si="229"/>
        <v>0.18290280054999272</v>
      </c>
      <c r="AY231" s="25">
        <f t="shared" si="230"/>
        <v>4.3592943098524619E-3</v>
      </c>
      <c r="AZ231" s="25">
        <f t="shared" si="231"/>
        <v>7.659708804823806E-3</v>
      </c>
      <c r="BA231" s="25">
        <f t="shared" si="203"/>
        <v>2.9159634083377119E-3</v>
      </c>
      <c r="BB231" s="25">
        <f t="shared" si="204"/>
        <v>-6.8343783103224122E-3</v>
      </c>
      <c r="BC231" s="25">
        <f t="shared" si="205"/>
        <v>-5.8628085149719797E-3</v>
      </c>
      <c r="BD231" s="39">
        <f t="shared" si="200"/>
        <v>1</v>
      </c>
      <c r="BE231" t="str">
        <f t="shared" si="232"/>
        <v/>
      </c>
      <c r="BF231" t="str">
        <f t="shared" si="233"/>
        <v/>
      </c>
      <c r="BG231">
        <f t="shared" si="234"/>
        <v>1</v>
      </c>
      <c r="BH231" t="str">
        <f t="shared" si="235"/>
        <v/>
      </c>
      <c r="BI231" t="str">
        <f t="shared" si="236"/>
        <v/>
      </c>
      <c r="BJ231" s="25">
        <f t="shared" si="238"/>
        <v>2.4441855841657268E-3</v>
      </c>
    </row>
    <row r="232" spans="1:63">
      <c r="A232" s="1">
        <v>42845</v>
      </c>
      <c r="B232" s="41">
        <f t="shared" si="23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52"/>
        <v>3249.988535</v>
      </c>
      <c r="T232" t="str">
        <f t="shared" ref="T232:T238" si="242">IF(AVERAGE(N231)&lt;S231,"熊",IF(AVERAGE(N231)&gt;S231,"牛",""))</f>
        <v>熊</v>
      </c>
      <c r="U232">
        <f t="shared" ref="U232:U238" si="243">MAX(H232,O232)</f>
        <v>3178.1826000000001</v>
      </c>
      <c r="V232">
        <f t="shared" ref="V232:V238" si="244">MIN(I232,P232)</f>
        <v>3148.2329</v>
      </c>
      <c r="W232" s="40">
        <f t="shared" si="241"/>
        <v>9.4682126842676791E-3</v>
      </c>
      <c r="X232">
        <f t="shared" ref="X232:X238" si="245">IF(U232=H232,J232,Q232)</f>
        <v>949</v>
      </c>
      <c r="Y232">
        <f t="shared" ref="Y232:Y238" si="246">IF(V232=I232,K232,R232)</f>
        <v>1406</v>
      </c>
      <c r="Z232" s="25">
        <f t="shared" si="206"/>
        <v>9.4607925980797463E-3</v>
      </c>
      <c r="AA232" s="25">
        <f t="shared" si="207"/>
        <v>-1.7809454389482169E-3</v>
      </c>
      <c r="AB232" s="25">
        <f t="shared" si="208"/>
        <v>-1.761140426051316E-3</v>
      </c>
      <c r="AC232" s="25">
        <f t="shared" si="209"/>
        <v>7.707072258216389E-3</v>
      </c>
      <c r="AD232" s="25">
        <f t="shared" si="210"/>
        <v>3.9463798738371839E-3</v>
      </c>
      <c r="AE232" s="25">
        <f t="shared" si="211"/>
        <v>-5.5218328104306167E-3</v>
      </c>
      <c r="AF232" s="25">
        <f t="shared" si="212"/>
        <v>2.1852394477858764E-3</v>
      </c>
      <c r="AG232" s="25">
        <f t="shared" si="212"/>
        <v>2.5882268649999674E-3</v>
      </c>
      <c r="AH232" s="25">
        <f t="shared" si="214"/>
        <v>-1.306287961903324E-4</v>
      </c>
      <c r="AI232" s="25">
        <f t="shared" si="215"/>
        <v>9.968605545894614E-4</v>
      </c>
      <c r="AJ232" s="25">
        <f t="shared" si="216"/>
        <v>8.7065428689363244E-4</v>
      </c>
      <c r="AK232" s="25">
        <f t="shared" si="217"/>
        <v>9.0448758719657613E-4</v>
      </c>
      <c r="AL232" s="25">
        <f t="shared" si="218"/>
        <v>5.5392565426817704E-3</v>
      </c>
      <c r="AM232" s="25">
        <f t="shared" si="219"/>
        <v>7.9794308792403568E-3</v>
      </c>
      <c r="AN232" s="25">
        <f t="shared" si="220"/>
        <v>0</v>
      </c>
      <c r="AO232" s="40">
        <f t="shared" si="221"/>
        <v>0.28699426410193857</v>
      </c>
      <c r="AP232" s="40">
        <f t="shared" si="222"/>
        <v>0.60841530863915061</v>
      </c>
      <c r="AQ232" s="25">
        <f t="shared" si="223"/>
        <v>8.9266554431405179E-4</v>
      </c>
      <c r="AR232" s="25">
        <f t="shared" si="224"/>
        <v>1.2807518605893839E-3</v>
      </c>
      <c r="AS232" s="25">
        <f t="shared" si="240"/>
        <v>2.1852394477858764E-3</v>
      </c>
      <c r="AT232" s="28">
        <f t="shared" si="225"/>
        <v>0.45016262153894576</v>
      </c>
      <c r="AU232" s="28">
        <f t="shared" si="226"/>
        <v>0.96573571859041507</v>
      </c>
      <c r="AV232" s="40">
        <f t="shared" si="227"/>
        <v>0.81327692764868342</v>
      </c>
      <c r="AW232" s="25">
        <f t="shared" si="228"/>
        <v>2.1852394477858764E-3</v>
      </c>
      <c r="AX232" s="28">
        <f t="shared" si="229"/>
        <v>0.1355839958330127</v>
      </c>
      <c r="AY232" s="25">
        <f t="shared" si="230"/>
        <v>2.4973642560411845E-3</v>
      </c>
      <c r="AZ232" s="25">
        <f t="shared" si="231"/>
        <v>7.707072258216389E-3</v>
      </c>
      <c r="BA232" s="25">
        <f t="shared" si="203"/>
        <v>0.57169823802075947</v>
      </c>
      <c r="BB232" s="25">
        <f t="shared" si="204"/>
        <v>2.4441855841657268E-3</v>
      </c>
      <c r="BC232" s="25">
        <f t="shared" si="205"/>
        <v>-4.2033274137666084E-3</v>
      </c>
      <c r="BD232" s="39">
        <f t="shared" si="200"/>
        <v>0</v>
      </c>
      <c r="BE232" t="str">
        <f t="shared" si="232"/>
        <v/>
      </c>
      <c r="BF232" t="str">
        <f t="shared" si="233"/>
        <v/>
      </c>
      <c r="BG232" t="str">
        <f t="shared" si="234"/>
        <v/>
      </c>
      <c r="BH232">
        <f t="shared" si="235"/>
        <v>1</v>
      </c>
      <c r="BI232" t="str">
        <f t="shared" si="236"/>
        <v/>
      </c>
      <c r="BJ232" s="25">
        <f t="shared" si="238"/>
        <v>1.2807518605893839E-3</v>
      </c>
    </row>
    <row r="233" spans="1:63">
      <c r="A233" s="1">
        <v>42846</v>
      </c>
      <c r="B233" s="41">
        <f t="shared" si="23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52"/>
        <v>3245.5080150000003</v>
      </c>
      <c r="T233" t="str">
        <f t="shared" si="242"/>
        <v>熊</v>
      </c>
      <c r="U233">
        <f t="shared" si="243"/>
        <v>3180.6624999999999</v>
      </c>
      <c r="V233">
        <f t="shared" si="244"/>
        <v>3158.8863000000001</v>
      </c>
      <c r="W233" s="40">
        <f t="shared" si="241"/>
        <v>6.8699796574964861E-3</v>
      </c>
      <c r="X233">
        <f t="shared" si="245"/>
        <v>1031</v>
      </c>
      <c r="Y233">
        <f t="shared" si="246"/>
        <v>1352</v>
      </c>
      <c r="Z233" s="25">
        <f t="shared" si="206"/>
        <v>6.8688355598015777E-3</v>
      </c>
      <c r="AA233" s="25">
        <f t="shared" si="207"/>
        <v>-7.2534874641294405E-4</v>
      </c>
      <c r="AB233" s="25">
        <f t="shared" si="208"/>
        <v>-2.3425056467236008E-3</v>
      </c>
      <c r="AC233" s="25">
        <f t="shared" si="209"/>
        <v>4.5274740107727534E-3</v>
      </c>
      <c r="AD233" s="25">
        <f t="shared" si="210"/>
        <v>3.2664736151505687E-3</v>
      </c>
      <c r="AE233" s="25">
        <f t="shared" si="211"/>
        <v>-3.6035060423459716E-3</v>
      </c>
      <c r="AF233" s="25">
        <f t="shared" si="212"/>
        <v>9.2396796842686803E-4</v>
      </c>
      <c r="AG233" s="25">
        <f t="shared" si="213"/>
        <v>1.9861922201401912E-4</v>
      </c>
      <c r="AH233" s="25">
        <f t="shared" si="214"/>
        <v>-5.4041204577557841E-4</v>
      </c>
      <c r="AI233" s="25">
        <f t="shared" si="215"/>
        <v>-1.9971776800727241E-4</v>
      </c>
      <c r="AJ233" s="25">
        <f t="shared" si="216"/>
        <v>1.7353062601826916E-3</v>
      </c>
      <c r="AK233" s="25">
        <f t="shared" si="217"/>
        <v>1.295477288451247E-3</v>
      </c>
      <c r="AL233" s="25">
        <f t="shared" si="218"/>
        <v>4.4769375711337673E-3</v>
      </c>
      <c r="AM233" s="25">
        <f t="shared" si="219"/>
        <v>5.0244165077596801E-3</v>
      </c>
      <c r="AN233" s="25">
        <f t="shared" si="220"/>
        <v>0</v>
      </c>
      <c r="AO233" s="40">
        <f t="shared" si="221"/>
        <v>0.26993623221050445</v>
      </c>
      <c r="AP233" s="40">
        <f t="shared" si="222"/>
        <v>0.43184729514773645</v>
      </c>
      <c r="AQ233" s="25">
        <f t="shared" si="223"/>
        <v>-8.451151802181553E-4</v>
      </c>
      <c r="AR233" s="25">
        <f t="shared" si="224"/>
        <v>-3.7150932002427711E-4</v>
      </c>
      <c r="AS233" s="25">
        <f t="shared" si="240"/>
        <v>9.2396796842686803E-4</v>
      </c>
      <c r="AT233" s="28">
        <f t="shared" si="225"/>
        <v>0.55919283773704176</v>
      </c>
      <c r="AU233" s="28">
        <f t="shared" si="226"/>
        <v>0.90087043961914637</v>
      </c>
      <c r="AV233" s="40">
        <f t="shared" si="227"/>
        <v>0.65825075081969864</v>
      </c>
      <c r="AW233" s="25">
        <f t="shared" si="228"/>
        <v>9.2396796842686803E-4</v>
      </c>
      <c r="AX233" s="28">
        <f t="shared" si="229"/>
        <v>-5.414626978078365E-2</v>
      </c>
      <c r="AY233" s="25">
        <f t="shared" si="230"/>
        <v>2.5059412444345549E-3</v>
      </c>
      <c r="AZ233" s="25">
        <f t="shared" si="231"/>
        <v>4.5274740107727534E-3</v>
      </c>
      <c r="BA233" s="25">
        <f t="shared" si="203"/>
        <v>0.81327692764868342</v>
      </c>
      <c r="BB233" s="25">
        <f t="shared" si="204"/>
        <v>1.2807518605893839E-3</v>
      </c>
      <c r="BC233" s="25">
        <f t="shared" si="205"/>
        <v>2.1852394477858764E-3</v>
      </c>
      <c r="BD233" s="39">
        <f t="shared" ref="BD233:BD238" si="247">IF(AR232&lt;0,1,0)</f>
        <v>0</v>
      </c>
      <c r="BE233" t="str">
        <f t="shared" si="232"/>
        <v/>
      </c>
      <c r="BF233" t="str">
        <f t="shared" si="233"/>
        <v/>
      </c>
      <c r="BG233" t="str">
        <f t="shared" si="234"/>
        <v/>
      </c>
      <c r="BH233" t="str">
        <f t="shared" si="235"/>
        <v/>
      </c>
      <c r="BI233">
        <f t="shared" si="236"/>
        <v>0</v>
      </c>
      <c r="BJ233" s="25" t="str">
        <f t="shared" si="238"/>
        <v/>
      </c>
    </row>
    <row r="234" spans="1:63">
      <c r="A234" s="1">
        <v>42849</v>
      </c>
      <c r="B234" s="41">
        <f t="shared" si="23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52"/>
        <v>3241.8967200000002</v>
      </c>
      <c r="T234" t="str">
        <f t="shared" si="242"/>
        <v>熊</v>
      </c>
      <c r="U234">
        <f t="shared" si="243"/>
        <v>3164.2478999999998</v>
      </c>
      <c r="V234">
        <f t="shared" si="244"/>
        <v>3111.5612000000001</v>
      </c>
      <c r="W234" s="40">
        <f t="shared" si="241"/>
        <v>1.6790803222170997E-2</v>
      </c>
      <c r="X234">
        <f t="shared" si="245"/>
        <v>930</v>
      </c>
      <c r="Y234">
        <f t="shared" si="246"/>
        <v>1342</v>
      </c>
      <c r="Z234" s="25">
        <f t="shared" si="206"/>
        <v>1.6650623359819483E-2</v>
      </c>
      <c r="AA234" s="25">
        <f t="shared" si="207"/>
        <v>-2.8316057544948755E-3</v>
      </c>
      <c r="AB234" s="25">
        <f t="shared" si="208"/>
        <v>-1.095389662756838E-2</v>
      </c>
      <c r="AC234" s="25">
        <f t="shared" si="209"/>
        <v>5.8369065946024482E-3</v>
      </c>
      <c r="AD234" s="25">
        <f t="shared" si="210"/>
        <v>0</v>
      </c>
      <c r="AE234" s="25">
        <f t="shared" si="211"/>
        <v>-1.6790803222170886E-2</v>
      </c>
      <c r="AF234" s="25">
        <f t="shared" si="212"/>
        <v>-1.095389662756838E-2</v>
      </c>
      <c r="AG234" s="25">
        <f t="shared" si="213"/>
        <v>-1.3785502382063306E-2</v>
      </c>
      <c r="AH234" s="25">
        <f t="shared" si="214"/>
        <v>-2.2533719613376984E-3</v>
      </c>
      <c r="AI234" s="25">
        <f t="shared" si="215"/>
        <v>-6.5142470468781298E-3</v>
      </c>
      <c r="AJ234" s="25">
        <f t="shared" si="216"/>
        <v>-6.3158064635088123E-3</v>
      </c>
      <c r="AK234" s="25">
        <f t="shared" si="217"/>
        <v>-1.2864483314148039E-2</v>
      </c>
      <c r="AL234" s="25">
        <f t="shared" si="218"/>
        <v>1.6107810358210437E-2</v>
      </c>
      <c r="AM234" s="25">
        <f t="shared" si="219"/>
        <v>7.4116892046270878E-3</v>
      </c>
      <c r="AN234" s="25">
        <f t="shared" si="220"/>
        <v>0</v>
      </c>
      <c r="AO234" s="40">
        <f t="shared" si="221"/>
        <v>1</v>
      </c>
      <c r="AP234" s="40">
        <f t="shared" si="222"/>
        <v>1.177461590797616</v>
      </c>
      <c r="AQ234" s="25">
        <f t="shared" si="223"/>
        <v>-2.0005257449420776E-3</v>
      </c>
      <c r="AR234" s="25">
        <f t="shared" si="224"/>
        <v>1.9105866865798207E-3</v>
      </c>
      <c r="AS234" s="25">
        <f t="shared" si="240"/>
        <v>-1.095389662756838E-2</v>
      </c>
      <c r="AT234" s="28">
        <f t="shared" si="225"/>
        <v>0.20005814781411757</v>
      </c>
      <c r="AU234" s="28">
        <f t="shared" si="226"/>
        <v>0.78690663394908589</v>
      </c>
      <c r="AV234" s="40">
        <f t="shared" si="227"/>
        <v>0.34572292438129126</v>
      </c>
      <c r="AW234" s="25">
        <f t="shared" si="228"/>
        <v>-1.095389662756838E-2</v>
      </c>
      <c r="AX234" s="28">
        <f t="shared" si="229"/>
        <v>0.11338724953355846</v>
      </c>
      <c r="AY234" s="25">
        <f t="shared" si="230"/>
        <v>3.2433270440624519E-3</v>
      </c>
      <c r="AZ234" s="25">
        <f t="shared" si="231"/>
        <v>5.8369065946024482E-3</v>
      </c>
      <c r="BA234" s="25">
        <f t="shared" si="203"/>
        <v>0.65825075081969864</v>
      </c>
      <c r="BB234" s="25">
        <f t="shared" si="204"/>
        <v>-3.7150932002427711E-4</v>
      </c>
      <c r="BC234" s="25">
        <f t="shared" si="205"/>
        <v>9.2396796842686803E-4</v>
      </c>
      <c r="BD234" s="39">
        <f t="shared" si="247"/>
        <v>1</v>
      </c>
      <c r="BE234" t="str">
        <f t="shared" si="232"/>
        <v/>
      </c>
      <c r="BF234" t="str">
        <f t="shared" si="233"/>
        <v/>
      </c>
      <c r="BG234" t="str">
        <f t="shared" si="234"/>
        <v/>
      </c>
      <c r="BH234" t="str">
        <f t="shared" si="235"/>
        <v/>
      </c>
      <c r="BI234" t="str">
        <f t="shared" si="236"/>
        <v/>
      </c>
      <c r="BJ234" s="25" t="str">
        <f t="shared" si="238"/>
        <v/>
      </c>
    </row>
    <row r="235" spans="1:63">
      <c r="A235" s="1">
        <v>42850</v>
      </c>
      <c r="B235" s="41">
        <f t="shared" si="23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52"/>
        <v>3235.9580300000002</v>
      </c>
      <c r="T235" t="str">
        <f t="shared" si="242"/>
        <v>熊</v>
      </c>
      <c r="U235">
        <f t="shared" si="243"/>
        <v>3145.2671999999998</v>
      </c>
      <c r="V235">
        <f t="shared" si="244"/>
        <v>3117.4488000000001</v>
      </c>
      <c r="W235" s="40">
        <f t="shared" si="241"/>
        <v>8.8838717768680367E-3</v>
      </c>
      <c r="X235">
        <f t="shared" si="245"/>
        <v>1301</v>
      </c>
      <c r="Y235">
        <f t="shared" si="246"/>
        <v>947</v>
      </c>
      <c r="Z235" s="25">
        <f t="shared" si="206"/>
        <v>8.9050388164540837E-3</v>
      </c>
      <c r="AA235" s="25">
        <f t="shared" si="207"/>
        <v>-1.8811038203724348E-3</v>
      </c>
      <c r="AB235" s="25">
        <f t="shared" si="208"/>
        <v>-3.1410685426531064E-3</v>
      </c>
      <c r="AC235" s="25">
        <f t="shared" si="209"/>
        <v>5.7428032342147026E-3</v>
      </c>
      <c r="AD235" s="25">
        <f t="shared" si="210"/>
        <v>6.8184502199735448E-3</v>
      </c>
      <c r="AE235" s="25">
        <f t="shared" si="211"/>
        <v>-2.0654215568943076E-3</v>
      </c>
      <c r="AF235" s="25">
        <f t="shared" si="212"/>
        <v>3.6773816773204029E-3</v>
      </c>
      <c r="AG235" s="25">
        <f t="shared" si="213"/>
        <v>1.7962778569480234E-3</v>
      </c>
      <c r="AH235" s="25">
        <f t="shared" si="214"/>
        <v>2.3672823682524043E-3</v>
      </c>
      <c r="AI235" s="25">
        <f t="shared" si="215"/>
        <v>2.6638565743584463E-3</v>
      </c>
      <c r="AJ235" s="25">
        <f t="shared" si="216"/>
        <v>2.0602379646099049E-3</v>
      </c>
      <c r="AK235" s="25">
        <f t="shared" si="217"/>
        <v>5.9929650789438231E-3</v>
      </c>
      <c r="AL235" s="25">
        <f t="shared" si="218"/>
        <v>8.4203697242555466E-3</v>
      </c>
      <c r="AM235" s="25">
        <f t="shared" si="219"/>
        <v>4.9226489710884475E-3</v>
      </c>
      <c r="AN235" s="25">
        <f t="shared" si="220"/>
        <v>0</v>
      </c>
      <c r="AO235" s="40">
        <f t="shared" si="221"/>
        <v>0.24450986119593376</v>
      </c>
      <c r="AP235" s="40">
        <f t="shared" si="222"/>
        <v>0.46763957224525043</v>
      </c>
      <c r="AQ235" s="25">
        <f t="shared" si="223"/>
        <v>-1.4342328297432876E-4</v>
      </c>
      <c r="AR235" s="25">
        <f t="shared" si="224"/>
        <v>-2.3155834016233157E-3</v>
      </c>
      <c r="AS235" s="25">
        <f t="shared" si="240"/>
        <v>3.6773816773204029E-3</v>
      </c>
      <c r="AT235" s="28">
        <f t="shared" si="225"/>
        <v>0.95683758900492832</v>
      </c>
      <c r="AU235" s="28">
        <f t="shared" si="226"/>
        <v>0.36134671414698843</v>
      </c>
      <c r="AV235" s="40">
        <f t="shared" si="227"/>
        <v>0.64541454576827928</v>
      </c>
      <c r="AW235" s="25">
        <f t="shared" si="228"/>
        <v>3.6773816773204029E-3</v>
      </c>
      <c r="AX235" s="28">
        <f t="shared" si="229"/>
        <v>-0.26129108791302574</v>
      </c>
      <c r="AY235" s="25">
        <f t="shared" si="230"/>
        <v>8.0583866358380791E-3</v>
      </c>
      <c r="AZ235" s="25">
        <f t="shared" si="231"/>
        <v>1.7815804284354326E-3</v>
      </c>
      <c r="BA235" s="25">
        <f t="shared" si="203"/>
        <v>0.34572292438129126</v>
      </c>
      <c r="BB235" s="25">
        <f t="shared" si="204"/>
        <v>1.9105866865798207E-3</v>
      </c>
      <c r="BC235" s="25">
        <f t="shared" si="205"/>
        <v>-1.095389662756838E-2</v>
      </c>
      <c r="BD235" s="39">
        <f t="shared" si="247"/>
        <v>0</v>
      </c>
      <c r="BE235">
        <f t="shared" si="232"/>
        <v>1</v>
      </c>
      <c r="BF235">
        <f t="shared" si="233"/>
        <v>1</v>
      </c>
      <c r="BG235" t="str">
        <f t="shared" si="234"/>
        <v/>
      </c>
      <c r="BH235" t="str">
        <f t="shared" si="235"/>
        <v/>
      </c>
      <c r="BI235" t="str">
        <f t="shared" si="236"/>
        <v/>
      </c>
      <c r="BJ235" s="25">
        <f t="shared" si="238"/>
        <v>-2.3155834016233157E-3</v>
      </c>
    </row>
    <row r="236" spans="1:63">
      <c r="A236" s="1">
        <v>42851</v>
      </c>
      <c r="B236" s="41">
        <f t="shared" si="23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52"/>
        <v>3229.2816350000003</v>
      </c>
      <c r="T236" t="str">
        <f t="shared" si="242"/>
        <v>熊</v>
      </c>
      <c r="U236">
        <f t="shared" si="243"/>
        <v>3152.9533999999999</v>
      </c>
      <c r="V236">
        <f t="shared" si="244"/>
        <v>3131.4180000000001</v>
      </c>
      <c r="W236" s="40">
        <f t="shared" si="241"/>
        <v>6.8536637723024332E-3</v>
      </c>
      <c r="X236">
        <f t="shared" si="245"/>
        <v>1052</v>
      </c>
      <c r="Y236">
        <f t="shared" si="246"/>
        <v>1009</v>
      </c>
      <c r="Z236" s="25">
        <f t="shared" si="206"/>
        <v>6.8739109394528233E-3</v>
      </c>
      <c r="AA236" s="25">
        <f t="shared" si="207"/>
        <v>-7.9290770567212417E-4</v>
      </c>
      <c r="AB236" s="25">
        <f t="shared" si="208"/>
        <v>-3.6062943465374206E-3</v>
      </c>
      <c r="AC236" s="25">
        <f t="shared" si="209"/>
        <v>3.2473694257651392E-3</v>
      </c>
      <c r="AD236" s="25">
        <f t="shared" si="210"/>
        <v>6.374730329164283E-3</v>
      </c>
      <c r="AE236" s="25">
        <f t="shared" si="211"/>
        <v>-4.7893344313811709E-4</v>
      </c>
      <c r="AF236" s="25">
        <f t="shared" si="212"/>
        <v>2.7684359826269218E-3</v>
      </c>
      <c r="AG236" s="25">
        <f t="shared" si="213"/>
        <v>1.9755282769547081E-3</v>
      </c>
      <c r="AH236" s="25">
        <f t="shared" si="214"/>
        <v>-2.2464010233125183E-4</v>
      </c>
      <c r="AI236" s="25">
        <f t="shared" si="215"/>
        <v>1.7429241667474542E-3</v>
      </c>
      <c r="AJ236" s="25">
        <f t="shared" si="216"/>
        <v>2.4171205207020414E-3</v>
      </c>
      <c r="AK236" s="25">
        <f t="shared" si="217"/>
        <v>4.074590344298413E-3</v>
      </c>
      <c r="AL236" s="25">
        <f t="shared" si="218"/>
        <v>6.8536637723024332E-3</v>
      </c>
      <c r="AM236" s="25">
        <f t="shared" si="219"/>
        <v>3.6551767290970583E-3</v>
      </c>
      <c r="AN236" s="25">
        <f t="shared" si="220"/>
        <v>0</v>
      </c>
      <c r="AO236" s="40">
        <f t="shared" si="221"/>
        <v>6.9657401302031297E-2</v>
      </c>
      <c r="AP236" s="40">
        <f t="shared" si="222"/>
        <v>0.18505344688281261</v>
      </c>
      <c r="AQ236" s="25">
        <f t="shared" si="223"/>
        <v>-2.2436247506631786E-4</v>
      </c>
      <c r="AR236" s="25">
        <f t="shared" si="224"/>
        <v>-1.3061543616713889E-3</v>
      </c>
      <c r="AS236" s="25">
        <f t="shared" si="240"/>
        <v>2.7684359826269218E-3</v>
      </c>
      <c r="AT236" s="28">
        <f t="shared" si="225"/>
        <v>0.66362825858818397</v>
      </c>
      <c r="AU236" s="28">
        <f t="shared" si="226"/>
        <v>0.40718203186208751</v>
      </c>
      <c r="AV236" s="40">
        <f t="shared" si="227"/>
        <v>0.47296079942791691</v>
      </c>
      <c r="AW236" s="25">
        <f t="shared" si="228"/>
        <v>2.7684359826269218E-3</v>
      </c>
      <c r="AX236" s="28">
        <f t="shared" si="229"/>
        <v>-0.19066745916026712</v>
      </c>
      <c r="AY236" s="25">
        <f t="shared" si="230"/>
        <v>4.5535237874364436E-3</v>
      </c>
      <c r="AZ236" s="25">
        <f t="shared" si="231"/>
        <v>1.4899351401514392E-3</v>
      </c>
      <c r="BA236" s="25">
        <f t="shared" si="203"/>
        <v>0.64541454576827928</v>
      </c>
      <c r="BB236" s="25">
        <f t="shared" si="204"/>
        <v>-2.3155834016233157E-3</v>
      </c>
      <c r="BC236" s="25">
        <f t="shared" si="205"/>
        <v>3.6773816773204029E-3</v>
      </c>
      <c r="BD236" s="39">
        <f t="shared" si="247"/>
        <v>1</v>
      </c>
      <c r="BE236" t="str">
        <f t="shared" si="232"/>
        <v/>
      </c>
      <c r="BF236" t="str">
        <f t="shared" si="233"/>
        <v/>
      </c>
      <c r="BG236">
        <f t="shared" si="234"/>
        <v>0.5</v>
      </c>
      <c r="BH236" t="str">
        <f t="shared" si="235"/>
        <v/>
      </c>
      <c r="BI236" t="str">
        <f t="shared" si="236"/>
        <v/>
      </c>
      <c r="BJ236" s="25">
        <f t="shared" si="238"/>
        <v>-6.5307718083569446E-4</v>
      </c>
    </row>
    <row r="237" spans="1:63">
      <c r="A237" s="1">
        <v>42852</v>
      </c>
      <c r="B237" s="41">
        <f t="shared" si="23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52"/>
        <v>3223.0207650000007</v>
      </c>
      <c r="T237" t="str">
        <f t="shared" si="242"/>
        <v>熊</v>
      </c>
      <c r="U237">
        <f t="shared" si="243"/>
        <v>3154.9630999999999</v>
      </c>
      <c r="V237">
        <f t="shared" si="244"/>
        <v>3097.5713000000001</v>
      </c>
      <c r="W237" s="40">
        <f t="shared" si="241"/>
        <v>1.8358447384108439E-2</v>
      </c>
      <c r="X237">
        <f t="shared" si="245"/>
        <v>1442</v>
      </c>
      <c r="Y237">
        <f t="shared" si="246"/>
        <v>1034</v>
      </c>
      <c r="Z237" s="25">
        <f t="shared" si="206"/>
        <v>1.8328135574513901E-2</v>
      </c>
      <c r="AA237" s="25">
        <f t="shared" si="207"/>
        <v>-3.2692128037638464E-3</v>
      </c>
      <c r="AB237" s="25">
        <f t="shared" si="208"/>
        <v>-7.6648330003828273E-4</v>
      </c>
      <c r="AC237" s="25">
        <f t="shared" si="209"/>
        <v>1.7591964084070048E-2</v>
      </c>
      <c r="AD237" s="25">
        <f t="shared" si="210"/>
        <v>7.5127064753077325E-3</v>
      </c>
      <c r="AE237" s="25">
        <f t="shared" si="211"/>
        <v>-1.0845740908800579E-2</v>
      </c>
      <c r="AF237" s="25">
        <f t="shared" si="212"/>
        <v>6.7462231752694873E-3</v>
      </c>
      <c r="AG237" s="25">
        <f t="shared" si="213"/>
        <v>3.4770103715057324E-3</v>
      </c>
      <c r="AH237" s="25">
        <f t="shared" si="214"/>
        <v>-2.5289430859573845E-3</v>
      </c>
      <c r="AI237" s="25">
        <f t="shared" si="215"/>
        <v>-2.4838015783687213E-3</v>
      </c>
      <c r="AJ237" s="25">
        <f t="shared" si="216"/>
        <v>-3.4542165247362436E-3</v>
      </c>
      <c r="AK237" s="25">
        <f t="shared" si="217"/>
        <v>-9.3731952571964202E-4</v>
      </c>
      <c r="AL237" s="25">
        <f t="shared" si="218"/>
        <v>1.0845740908800652E-2</v>
      </c>
      <c r="AM237" s="25">
        <f t="shared" si="219"/>
        <v>8.7680010302944866E-3</v>
      </c>
      <c r="AN237" s="25">
        <f t="shared" si="220"/>
        <v>0</v>
      </c>
      <c r="AO237" s="40">
        <f t="shared" si="221"/>
        <v>1</v>
      </c>
      <c r="AP237" s="40">
        <f t="shared" si="222"/>
        <v>1.3035617541439317</v>
      </c>
      <c r="AQ237" s="25">
        <f t="shared" si="223"/>
        <v>2.6910958672253608E-4</v>
      </c>
      <c r="AR237" s="25">
        <f t="shared" si="224"/>
        <v>7.6835427009891545E-3</v>
      </c>
      <c r="AS237" s="25">
        <f t="shared" si="240"/>
        <v>6.7462231752694873E-3</v>
      </c>
      <c r="AT237" s="28">
        <f t="shared" si="225"/>
        <v>0.91314838224540462</v>
      </c>
      <c r="AU237" s="28">
        <f t="shared" si="226"/>
        <v>0.91223158980168062</v>
      </c>
      <c r="AV237" s="40">
        <f t="shared" si="227"/>
        <v>0.95788074254510103</v>
      </c>
      <c r="AW237" s="25">
        <f t="shared" si="228"/>
        <v>6.7462231752694873E-3</v>
      </c>
      <c r="AX237" s="28">
        <f t="shared" si="229"/>
        <v>0.42044159618621402</v>
      </c>
      <c r="AY237" s="25">
        <f t="shared" si="230"/>
        <v>9.9084213830809599E-3</v>
      </c>
      <c r="AZ237" s="25">
        <f t="shared" si="231"/>
        <v>8.0015177302563082E-3</v>
      </c>
      <c r="BA237" s="25">
        <f t="shared" si="203"/>
        <v>0.47296079942791691</v>
      </c>
      <c r="BB237" s="25">
        <f t="shared" si="204"/>
        <v>-1.3061543616713889E-3</v>
      </c>
      <c r="BC237" s="25">
        <f t="shared" si="205"/>
        <v>2.7684359826269218E-3</v>
      </c>
      <c r="BD237" s="39">
        <f t="shared" si="247"/>
        <v>1</v>
      </c>
      <c r="BE237" t="str">
        <f t="shared" si="232"/>
        <v/>
      </c>
      <c r="BF237" t="str">
        <f t="shared" si="233"/>
        <v/>
      </c>
      <c r="BG237" t="str">
        <f t="shared" si="234"/>
        <v/>
      </c>
      <c r="BH237">
        <f t="shared" si="235"/>
        <v>1</v>
      </c>
      <c r="BI237" t="str">
        <f t="shared" si="236"/>
        <v/>
      </c>
      <c r="BJ237" s="25">
        <f t="shared" si="238"/>
        <v>7.6835427009891545E-3</v>
      </c>
    </row>
    <row r="238" spans="1:63">
      <c r="A238" s="1">
        <v>42853</v>
      </c>
      <c r="B238" s="41">
        <f t="shared" ref="B238:B285" si="24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52"/>
        <v>3217.9983550000006</v>
      </c>
      <c r="T238" t="str">
        <f t="shared" si="242"/>
        <v>熊</v>
      </c>
      <c r="U238">
        <f t="shared" si="243"/>
        <v>3154.7266</v>
      </c>
      <c r="V238">
        <f t="shared" si="244"/>
        <v>3136.6606000000002</v>
      </c>
      <c r="W238" s="40">
        <f t="shared" si="241"/>
        <v>5.7431053222311203E-3</v>
      </c>
      <c r="X238">
        <f t="shared" si="245"/>
        <v>1500</v>
      </c>
      <c r="Y238">
        <f t="shared" si="246"/>
        <v>1325</v>
      </c>
      <c r="Z238" s="25">
        <f t="shared" si="206"/>
        <v>5.7461431804911416E-3</v>
      </c>
      <c r="AA238" s="25">
        <f t="shared" si="207"/>
        <v>-2.707476712109959E-3</v>
      </c>
      <c r="AB238" s="25">
        <f t="shared" si="208"/>
        <v>-1.065759282378245E-4</v>
      </c>
      <c r="AC238" s="25">
        <f t="shared" si="209"/>
        <v>5.6365293939933401E-3</v>
      </c>
      <c r="AD238" s="25">
        <f t="shared" si="210"/>
        <v>3.3989959453382761E-3</v>
      </c>
      <c r="AE238" s="25">
        <f t="shared" si="211"/>
        <v>-2.3441093768930259E-3</v>
      </c>
      <c r="AF238" s="25">
        <f t="shared" si="212"/>
        <v>3.292420017100308E-3</v>
      </c>
      <c r="AG238" s="25">
        <f t="shared" si="213"/>
        <v>5.8494330499046202E-4</v>
      </c>
      <c r="AH238" s="25">
        <f t="shared" si="214"/>
        <v>-1.2284383948832895E-4</v>
      </c>
      <c r="AI238" s="25">
        <f t="shared" si="215"/>
        <v>4.3895910921872315E-4</v>
      </c>
      <c r="AJ238" s="25">
        <f t="shared" si="216"/>
        <v>8.2567109778008908E-4</v>
      </c>
      <c r="AK238" s="25">
        <f t="shared" si="217"/>
        <v>-7.8697713362692269E-4</v>
      </c>
      <c r="AL238" s="25">
        <f t="shared" si="218"/>
        <v>3.7507057926726788E-3</v>
      </c>
      <c r="AM238" s="25">
        <f t="shared" si="219"/>
        <v>5.7431053222311203E-3</v>
      </c>
      <c r="AN238" s="25">
        <f t="shared" si="220"/>
        <v>0</v>
      </c>
      <c r="AO238" s="40">
        <f t="shared" si="221"/>
        <v>0.52458613203068594</v>
      </c>
      <c r="AP238" s="40">
        <f t="shared" si="222"/>
        <v>1.2474896533007798</v>
      </c>
      <c r="AQ238" s="25">
        <f t="shared" si="223"/>
        <v>-9.0531370645160309E-4</v>
      </c>
      <c r="AR238" s="25">
        <f t="shared" si="224"/>
        <v>4.0793971507272243E-3</v>
      </c>
      <c r="AS238" s="25">
        <f t="shared" si="240"/>
        <v>3.292420017100308E-3</v>
      </c>
      <c r="AT238" s="28">
        <f t="shared" si="225"/>
        <v>0.31482800732750232</v>
      </c>
      <c r="AU238" s="28">
        <f t="shared" si="226"/>
        <v>0.98139045721245777</v>
      </c>
      <c r="AV238" s="40">
        <f t="shared" si="227"/>
        <v>0.98139045721245777</v>
      </c>
      <c r="AW238" s="25">
        <f t="shared" si="228"/>
        <v>3.292420017100308E-3</v>
      </c>
      <c r="AX238" s="28">
        <f t="shared" si="229"/>
        <v>0.71082696778480503</v>
      </c>
      <c r="AY238" s="25">
        <f t="shared" si="230"/>
        <v>1.1823452240792604E-3</v>
      </c>
      <c r="AZ238" s="25">
        <f t="shared" si="231"/>
        <v>5.6365293939933401E-3</v>
      </c>
      <c r="BA238" s="25">
        <f t="shared" si="203"/>
        <v>0.95788074254510103</v>
      </c>
      <c r="BB238" s="25">
        <f t="shared" si="204"/>
        <v>7.6835427009891545E-3</v>
      </c>
      <c r="BC238" s="25">
        <f t="shared" si="205"/>
        <v>6.7462231752694873E-3</v>
      </c>
      <c r="BD238" s="39">
        <f t="shared" si="247"/>
        <v>0</v>
      </c>
      <c r="BE238" t="str">
        <f t="shared" si="232"/>
        <v/>
      </c>
      <c r="BF238" t="str">
        <f t="shared" si="233"/>
        <v/>
      </c>
      <c r="BG238" t="str">
        <f t="shared" si="234"/>
        <v/>
      </c>
      <c r="BH238" t="str">
        <f t="shared" si="235"/>
        <v/>
      </c>
      <c r="BI238">
        <f t="shared" si="236"/>
        <v>0</v>
      </c>
      <c r="BJ238" s="25" t="str">
        <f t="shared" si="238"/>
        <v/>
      </c>
    </row>
    <row r="239" spans="1:63">
      <c r="A239" s="1">
        <v>42857</v>
      </c>
      <c r="B239" s="41">
        <f t="shared" si="24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52"/>
        <v>3213.6428700000006</v>
      </c>
      <c r="T239" t="str">
        <f t="shared" ref="T239" si="249">IF(AVERAGE(N238)&lt;S238,"熊",IF(AVERAGE(N238)&gt;S238,"牛",""))</f>
        <v>熊</v>
      </c>
      <c r="U239">
        <f t="shared" ref="U239" si="250">MAX(H239,O239)</f>
        <v>3154.7811999999999</v>
      </c>
      <c r="V239">
        <f t="shared" ref="V239" si="251">MIN(I239,P239)</f>
        <v>3136.5796999999998</v>
      </c>
      <c r="W239" s="40">
        <f t="shared" ref="W239" si="252">LN(U239/V239)</f>
        <v>5.7862046294006823E-3</v>
      </c>
      <c r="X239">
        <f t="shared" ref="X239" si="253">IF(U239=H239,J239,Q239)</f>
        <v>1007</v>
      </c>
      <c r="Y239">
        <f t="shared" ref="Y239" si="254">IF(V239=I239,K239,R239)</f>
        <v>1420</v>
      </c>
      <c r="Z239" s="25">
        <f t="shared" ref="Z239" si="255">(U239-V239)/(C239)</f>
        <v>5.783344229166822E-3</v>
      </c>
      <c r="AA239" s="25">
        <f t="shared" ref="AA239" si="256">LN(C239/N238)</f>
        <v>-2.2733536683981017E-3</v>
      </c>
      <c r="AB239" s="25">
        <f t="shared" ref="AB239" si="257">LN(N239/U239)</f>
        <v>-3.3893635060326258E-3</v>
      </c>
      <c r="AC239" s="25">
        <f t="shared" ref="AC239" si="258">LN(N239/V239)</f>
        <v>2.3968411233682182E-3</v>
      </c>
      <c r="AD239" s="25">
        <f t="shared" ref="AD239" si="259">LN(U239/C239)</f>
        <v>2.3972368103622878E-3</v>
      </c>
      <c r="AE239" s="25">
        <f t="shared" ref="AE239" si="260">LN(V239/C239)</f>
        <v>-3.3889678190386122E-3</v>
      </c>
      <c r="AF239" s="25">
        <f t="shared" ref="AF239" si="261">LN(N239/C239)</f>
        <v>-9.921266956704148E-4</v>
      </c>
      <c r="AG239" s="25">
        <f t="shared" ref="AG239" si="262">LN(N239/N238)</f>
        <v>-3.2654803640684857E-3</v>
      </c>
      <c r="AH239" s="25">
        <f t="shared" ref="AH239" si="263">LN(D239/C239)</f>
        <v>-4.3075753034583928E-4</v>
      </c>
      <c r="AI239" s="25">
        <f t="shared" ref="AI239" si="264">LN(E239/C239)</f>
        <v>9.6574901663577296E-4</v>
      </c>
      <c r="AJ239" s="25">
        <f t="shared" ref="AJ239" si="265">LN(F239/C239)</f>
        <v>-7.145982855078527E-4</v>
      </c>
      <c r="AK239" s="25">
        <f t="shared" ref="AK239" si="266">+LN(G239/C239)</f>
        <v>-6.8888400215267036E-5</v>
      </c>
      <c r="AL239" s="25">
        <f t="shared" ref="AL239" si="267">LN(H239/I239)</f>
        <v>4.2564720351999374E-3</v>
      </c>
      <c r="AM239" s="25">
        <f t="shared" ref="AM239" si="268">LN(O239/P239)</f>
        <v>3.6051665021806941E-3</v>
      </c>
      <c r="AN239" s="25">
        <f t="shared" ref="AN239" si="269">LN(L239/G239)</f>
        <v>0</v>
      </c>
      <c r="AO239" s="40">
        <f t="shared" ref="AO239" si="270">(C239-I239)/(H239-I239)</f>
        <v>0.43627842414382639</v>
      </c>
      <c r="AP239" s="40">
        <f t="shared" ref="AP239" si="271">(N238-I239)/(H239-I239)</f>
        <v>0.97083516795154567</v>
      </c>
      <c r="AQ239" s="25">
        <f t="shared" ref="AQ239" si="272">LN(M239/L239)</f>
        <v>-1.5717737184126922E-4</v>
      </c>
      <c r="AR239" s="25">
        <f t="shared" ref="AR239" si="273">LN(N239/L239)</f>
        <v>-9.2323829545508461E-4</v>
      </c>
      <c r="AS239" s="25">
        <f t="shared" ref="AS239" si="274">LN(N239/C239)</f>
        <v>-9.921266956704148E-4</v>
      </c>
      <c r="AT239" s="28">
        <f t="shared" ref="AT239" si="275">+(G239-I239)/(H239-I239)</f>
        <v>0.42009895743933678</v>
      </c>
      <c r="AU239" s="28">
        <f t="shared" ref="AU239" si="276">+(N239-P239)/(O239-P239)</f>
        <v>0.66443332185766724</v>
      </c>
      <c r="AV239" s="40">
        <f t="shared" ref="AV239" si="277">+(N239-V239)/(U239-V239)</f>
        <v>0.41353185177047191</v>
      </c>
      <c r="AW239" s="25">
        <f t="shared" ref="AW239" si="278">LN(N239/C239)</f>
        <v>-9.921266956704148E-4</v>
      </c>
      <c r="AX239" s="28">
        <f t="shared" ref="AX239" si="279">(N239-L239)/(U239-V239)</f>
        <v>-0.15955278411118448</v>
      </c>
      <c r="AY239" s="25">
        <f t="shared" ref="AY239" si="280">LN(G239/I239)</f>
        <v>1.7903468246226462E-3</v>
      </c>
      <c r="AZ239" s="25">
        <f t="shared" ref="AZ239" si="281">LN(N239/P239)</f>
        <v>2.3968411233682182E-3</v>
      </c>
      <c r="BA239" s="25">
        <f t="shared" ref="BA239" si="282">AV238</f>
        <v>0.98139045721245777</v>
      </c>
      <c r="BB239" s="25">
        <f t="shared" ref="BB239" si="283">AR238</f>
        <v>4.0793971507272243E-3</v>
      </c>
      <c r="BC239" s="25">
        <f t="shared" ref="BC239" si="284">AS238</f>
        <v>3.292420017100308E-3</v>
      </c>
      <c r="BD239" s="39">
        <f t="shared" ref="BD239" si="285">IF(AR238&lt;0,1,0)</f>
        <v>0</v>
      </c>
      <c r="BE239">
        <f t="shared" ref="BE239" si="286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287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288">IF(B239=3,IF(AV238&lt;0.85,IF(AND(K239&gt;942,AT239&gt;0.9),0.25,1)*IF(AR238&lt;-0.004,1,0.5),0),"")</f>
        <v/>
      </c>
      <c r="BH239" t="str">
        <f t="shared" ref="BH239" si="289">IF(B239=4,IF(AV238&lt;0.6,IF(AQ239&gt;=0,IF(K239&lt;1018,2,1),0),IF(AV238&gt;0.85,IF(AQ239&lt;=0,-0.5,0),0)),"")</f>
        <v/>
      </c>
      <c r="BI239" t="str">
        <f t="shared" ref="BI239" si="290">IF(B239=5,IF(AV238&lt;0.4,IF(AQ239&gt; -0.004,1,0),IF(AV238&lt;0.95,IF(AND(AO239&lt;0.85,AT239&lt;0.95,AQ239&gt;0,K239&lt;1115),0.5,0),0)),"")</f>
        <v/>
      </c>
      <c r="BJ239" s="25" t="str">
        <f t="shared" ref="BJ239" si="291">IF(MAX(BE239:BI239)=0,"",MAX(BE239:BI239)*AR239)</f>
        <v/>
      </c>
    </row>
    <row r="240" spans="1:63" ht="40.5">
      <c r="A240" s="1">
        <v>42858</v>
      </c>
      <c r="B240" s="41">
        <f t="shared" si="24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52"/>
        <v>3210.4018249999999</v>
      </c>
      <c r="T240" t="str">
        <f t="shared" ref="T240" si="292">IF(AVERAGE(N239)&lt;S239,"熊",IF(AVERAGE(N239)&gt;S239,"牛",""))</f>
        <v>熊</v>
      </c>
      <c r="U240">
        <f t="shared" ref="U240" si="293">MAX(H240,O240)</f>
        <v>3148.0695000000001</v>
      </c>
      <c r="V240">
        <f t="shared" ref="V240" si="294">MIN(I240,P240)</f>
        <v>3123.8022999999998</v>
      </c>
      <c r="W240" s="40">
        <f t="shared" ref="W240" si="295">LN(U240/V240)</f>
        <v>7.7384620970355122E-3</v>
      </c>
      <c r="X240">
        <f t="shared" ref="X240" si="296">IF(U240=H240,J240,Q240)</f>
        <v>948</v>
      </c>
      <c r="Y240">
        <f t="shared" ref="Y240" si="297">IF(V240=I240,K240,R240)</f>
        <v>1412</v>
      </c>
      <c r="Z240" s="25">
        <f t="shared" ref="Z240" si="298">(U240-V240)/(C240)</f>
        <v>7.7325773248173926E-3</v>
      </c>
      <c r="AA240" s="25">
        <f t="shared" ref="AA240" si="299">LN(C240/N239)</f>
        <v>-1.8463610330547527E-3</v>
      </c>
      <c r="AB240" s="25">
        <f t="shared" ref="AB240" si="300">LN(N240/U240)</f>
        <v>-3.8932837244901736E-3</v>
      </c>
      <c r="AC240" s="25">
        <f t="shared" ref="AC240" si="301">LN(N240/V240)</f>
        <v>3.8451783725455034E-3</v>
      </c>
      <c r="AD240" s="25">
        <f t="shared" ref="AD240" si="302">LN(U240/C240)</f>
        <v>3.105989009449779E-3</v>
      </c>
      <c r="AE240" s="25">
        <f t="shared" ref="AE240" si="303">LN(V240/C240)</f>
        <v>-4.6324730875858698E-3</v>
      </c>
      <c r="AF240" s="25">
        <f t="shared" ref="AF240" si="304">LN(N240/C240)</f>
        <v>-7.8729471504046652E-4</v>
      </c>
      <c r="AG240" s="25">
        <f t="shared" ref="AG240" si="305">LN(N240/N239)</f>
        <v>-2.6336557480951786E-3</v>
      </c>
      <c r="AH240" s="25">
        <f t="shared" ref="AH240" si="306">LN(D240/C240)</f>
        <v>-5.7678297207943894E-4</v>
      </c>
      <c r="AI240" s="25">
        <f t="shared" ref="AI240" si="307">LN(E240/C240)</f>
        <v>-3.4091069313054503E-4</v>
      </c>
      <c r="AJ240" s="25">
        <f t="shared" ref="AJ240" si="308">LN(F240/C240)</f>
        <v>7.2824862235646554E-4</v>
      </c>
      <c r="AK240" s="25">
        <f t="shared" ref="AK240" si="309">+LN(G240/C240)</f>
        <v>-1.5644546063925994E-3</v>
      </c>
      <c r="AL240" s="25">
        <f t="shared" ref="AL240" si="310">LN(H240/I240)</f>
        <v>5.7287998160332121E-3</v>
      </c>
      <c r="AM240" s="25">
        <f t="shared" ref="AM240" si="311">LN(O240/P240)</f>
        <v>4.682658126206456E-3</v>
      </c>
      <c r="AN240" s="25">
        <f t="shared" ref="AN240" si="312">LN(L240/G240)</f>
        <v>0</v>
      </c>
      <c r="AO240" s="40">
        <f t="shared" ref="AO240" si="313">(C240-I240)/(H240-I240)</f>
        <v>0.45711807196755483</v>
      </c>
      <c r="AP240" s="40">
        <f t="shared" ref="AP240" si="314">(N239-I240)/(H240-I240)</f>
        <v>0.77963198781077747</v>
      </c>
      <c r="AQ240" s="25">
        <f t="shared" ref="AQ240" si="315">LN(M240/L240)</f>
        <v>-2.9183415964265292E-4</v>
      </c>
      <c r="AR240" s="25">
        <f t="shared" ref="AR240" si="316">LN(N240/L240)</f>
        <v>7.7715989135219055E-4</v>
      </c>
      <c r="AS240" s="25">
        <f t="shared" ref="AS240" si="317">LN(N240/C240)</f>
        <v>-7.8729471504046652E-4</v>
      </c>
      <c r="AT240" s="28">
        <f t="shared" ref="AT240" si="318">+(G240-I240)/(H240-I240)</f>
        <v>0.1843119373189254</v>
      </c>
      <c r="AU240" s="28">
        <f t="shared" ref="AU240" si="319">+(N240-P240)/(O240-P240)</f>
        <v>0.82080889373891297</v>
      </c>
      <c r="AV240" s="40">
        <f t="shared" ref="AV240" si="320">+(N240-V240)/(U240-V240)</f>
        <v>0.49592454011999915</v>
      </c>
      <c r="AW240" s="25">
        <f t="shared" ref="AW240" si="321">LN(N240/C240)</f>
        <v>-7.8729471504046652E-4</v>
      </c>
      <c r="AX240" s="28">
        <f t="shared" ref="AX240" si="322">(N240-L240)/(U240-V240)</f>
        <v>0.10038652996636915</v>
      </c>
      <c r="AY240" s="25">
        <f t="shared" ref="AY240" si="323">LN(G240/I240)</f>
        <v>1.0583562001907976E-3</v>
      </c>
      <c r="AZ240" s="25">
        <f t="shared" ref="AZ240" si="324">LN(N240/P240)</f>
        <v>3.8451783725455034E-3</v>
      </c>
      <c r="BA240" s="25">
        <f t="shared" ref="BA240" si="325">AV239</f>
        <v>0.41353185177047191</v>
      </c>
      <c r="BB240" s="25">
        <f t="shared" ref="BB240" si="326">AR239</f>
        <v>-9.2323829545508461E-4</v>
      </c>
      <c r="BC240" s="25">
        <f t="shared" ref="BC240" si="327">AS239</f>
        <v>-9.921266956704148E-4</v>
      </c>
      <c r="BD240" s="39">
        <f t="shared" ref="BD240" si="328">IF(AR239&lt;0,1,0)</f>
        <v>1</v>
      </c>
      <c r="BE240" t="str">
        <f t="shared" ref="BE240" si="329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30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31">IF(B240=3,IF(AV239&lt;0.85,IF(AND(K240&gt;942,AT240&gt;0.9),0.25,1)*IF(AR239&lt;-0.004,1,0.5),0),"")</f>
        <v>0.5</v>
      </c>
      <c r="BH240" t="str">
        <f t="shared" ref="BH240" si="332">IF(B240=4,IF(AV239&lt;0.6,IF(AQ240&gt;=0,IF(K240&lt;1018,2,1),0),IF(AV239&gt;0.85,IF(AQ240&lt;=0,-0.5,0),0)),"")</f>
        <v/>
      </c>
      <c r="BI240" t="str">
        <f t="shared" ref="BI240" si="333">IF(B240=5,IF(AV239&lt;0.4,IF(AQ240&gt; -0.004,1,0),IF(AV239&lt;0.95,IF(AND(AO240&lt;0.85,AT240&lt;0.95,AQ240&gt;0,K240&lt;1115),0.5,0),0)),"")</f>
        <v/>
      </c>
      <c r="BJ240" s="25">
        <f t="shared" ref="BJ240" si="334">IF(MAX(BE240:BI240)=0,"",MAX(BE240:BI240)*AR240)</f>
        <v>3.8857994567609527E-4</v>
      </c>
      <c r="BK240" s="50" t="s">
        <v>333</v>
      </c>
    </row>
    <row r="241" spans="1:62">
      <c r="A241" s="1">
        <v>42859</v>
      </c>
      <c r="B241" s="41">
        <f t="shared" si="24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52"/>
        <v>3206.06351</v>
      </c>
      <c r="T241" t="str">
        <f t="shared" ref="T241" si="335">IF(AVERAGE(N240)&lt;S240,"熊",IF(AVERAGE(N240)&gt;S240,"牛",""))</f>
        <v>熊</v>
      </c>
      <c r="U241">
        <f t="shared" ref="U241" si="336">MAX(H241,O241)</f>
        <v>3143.5898999999999</v>
      </c>
      <c r="V241">
        <f t="shared" ref="V241" si="337">MIN(I241,P241)</f>
        <v>3112.4364</v>
      </c>
      <c r="W241" s="40">
        <f t="shared" ref="W241" si="338">LN(U241/V241)</f>
        <v>9.9595992806505718E-3</v>
      </c>
      <c r="X241">
        <f t="shared" ref="X241" si="339">IF(U241=H241,J241,Q241)</f>
        <v>1331</v>
      </c>
      <c r="Y241">
        <f t="shared" ref="Y241" si="340">IF(V241=I241,K241,R241)</f>
        <v>939</v>
      </c>
      <c r="Z241" s="25">
        <f t="shared" ref="Z241" si="341">(U241-V241)/(C241)</f>
        <v>9.9624067724219303E-3</v>
      </c>
      <c r="AA241" s="25">
        <f t="shared" ref="AA241" si="342">LN(C241/N240)</f>
        <v>-2.7882118471377476E-3</v>
      </c>
      <c r="AB241" s="25">
        <f t="shared" ref="AB241" si="343">LN(N241/U241)</f>
        <v>-5.198644282790146E-3</v>
      </c>
      <c r="AC241" s="25">
        <f t="shared" ref="AC241" si="344">LN(N241/V241)</f>
        <v>4.7609549978603156E-3</v>
      </c>
      <c r="AD241" s="25">
        <f t="shared" ref="AD241" si="345">LN(U241/C241)</f>
        <v>5.2575148784109408E-3</v>
      </c>
      <c r="AE241" s="25">
        <f t="shared" ref="AE241" si="346">LN(V241/C241)</f>
        <v>-4.7020844022394957E-3</v>
      </c>
      <c r="AF241" s="25">
        <f t="shared" ref="AF241" si="347">LN(N241/C241)</f>
        <v>5.8870595620894305E-5</v>
      </c>
      <c r="AG241" s="25">
        <f t="shared" ref="AG241" si="348">LN(N241/N240)</f>
        <v>-2.7293412515169758E-3</v>
      </c>
      <c r="AH241" s="25">
        <f t="shared" ref="AH241" si="349">LN(D241/C241)</f>
        <v>-1.7372344887605212E-3</v>
      </c>
      <c r="AI241" s="25">
        <f t="shared" ref="AI241" si="350">LN(E241/C241)</f>
        <v>-1.1960695092372666E-3</v>
      </c>
      <c r="AJ241" s="25">
        <f t="shared" ref="AJ241" si="351">LN(F241/C241)</f>
        <v>-3.2831107988917918E-3</v>
      </c>
      <c r="AK241" s="25">
        <f t="shared" ref="AK241" si="352">+LN(G241/C241)</f>
        <v>1.9496790554762531E-3</v>
      </c>
      <c r="AL241" s="25">
        <f t="shared" ref="AL241" si="353">LN(H241/I241)</f>
        <v>6.9799992469220026E-3</v>
      </c>
      <c r="AM241" s="25">
        <f t="shared" ref="AM241" si="354">LN(O241/P241)</f>
        <v>7.1579441511441591E-3</v>
      </c>
      <c r="AN241" s="25">
        <f t="shared" ref="AN241" si="355">LN(L241/G241)</f>
        <v>0</v>
      </c>
      <c r="AO241" s="40">
        <f t="shared" ref="AO241" si="356">(C241-I241)/(H241-I241)</f>
        <v>0.67288356390590165</v>
      </c>
      <c r="AP241" s="40">
        <f t="shared" ref="AP241" si="357">(N240-I241)/(H241-I241)</f>
        <v>1.0733826281604326</v>
      </c>
      <c r="AQ241" s="25">
        <f t="shared" ref="AQ241" si="358">LN(M241/L241)</f>
        <v>1.0640283030081126E-4</v>
      </c>
      <c r="AR241" s="25">
        <f t="shared" ref="AR241" si="359">LN(N241/L241)</f>
        <v>-1.8908084598555114E-3</v>
      </c>
      <c r="AS241" s="25">
        <f t="shared" ref="AS241" si="360">LN(N241/C241)</f>
        <v>5.8870595620894305E-5</v>
      </c>
      <c r="AT241" s="28">
        <f t="shared" ref="AT241" si="361">+(G241-I241)/(H241-I241)</f>
        <v>0.95281824520200642</v>
      </c>
      <c r="AU241" s="28">
        <f t="shared" ref="AU241" si="362">+(N241-P241)/(O241-P241)</f>
        <v>0.27301271558742152</v>
      </c>
      <c r="AV241" s="40">
        <f t="shared" ref="AV241" si="363">+(N241-V241)/(U241-V241)</f>
        <v>0.4767843099491299</v>
      </c>
      <c r="AW241" s="25">
        <f t="shared" ref="AW241" si="364">LN(N241/C241)</f>
        <v>5.8870595620894305E-5</v>
      </c>
      <c r="AX241" s="28">
        <f t="shared" ref="AX241" si="365">(N241-L241)/(U241-V241)</f>
        <v>-0.18998507390822017</v>
      </c>
      <c r="AY241" s="25">
        <f t="shared" ref="AY241" si="366">LN(G241/I241)</f>
        <v>6.6517634577156507E-3</v>
      </c>
      <c r="AZ241" s="25">
        <f t="shared" ref="AZ241" si="367">LN(N241/P241)</f>
        <v>1.9592998683540404E-3</v>
      </c>
      <c r="BA241" s="25">
        <f t="shared" ref="BA241" si="368">AV240</f>
        <v>0.49592454011999915</v>
      </c>
      <c r="BB241" s="25">
        <f t="shared" ref="BB241" si="369">AR240</f>
        <v>7.7715989135219055E-4</v>
      </c>
      <c r="BC241" s="25">
        <f t="shared" ref="BC241" si="370">AS240</f>
        <v>-7.8729471504046652E-4</v>
      </c>
      <c r="BD241" s="39">
        <f t="shared" ref="BD241" si="371">IF(AR240&lt;0,1,0)</f>
        <v>0</v>
      </c>
      <c r="BE241" t="str">
        <f t="shared" ref="BE241" si="372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373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374">IF(B241=3,IF(AV240&lt;0.85,IF(AND(K241&gt;942,AT241&gt;0.9),0.25,1)*IF(AR240&lt;-0.004,1,0.5),0),"")</f>
        <v/>
      </c>
      <c r="BH241">
        <f t="shared" ref="BH241" si="375">IF(B241=4,IF(AV240&lt;0.6,IF(AQ241&gt;=0,IF(K241&lt;1018,2,1),0),IF(AV240&gt;0.85,IF(AQ241&lt;=0,-0.5,0),0)),"")</f>
        <v>2</v>
      </c>
      <c r="BI241" t="str">
        <f t="shared" ref="BI241" si="376">IF(B241=5,IF(AV240&lt;0.4,IF(AQ241&gt; -0.004,1,0),IF(AV240&lt;0.95,IF(AND(AO241&lt;0.85,AT241&lt;0.95,AQ241&gt;0,K241&lt;1115),0.5,0),0)),"")</f>
        <v/>
      </c>
      <c r="BJ241" s="25">
        <f t="shared" ref="BJ241" si="377">IF(MAX(BE241:BI241)=0,"",MAX(BE241:BI241)*AR241)</f>
        <v>-3.7816169197110228E-3</v>
      </c>
    </row>
    <row r="242" spans="1:62">
      <c r="A242" s="1">
        <v>42860</v>
      </c>
      <c r="B242" s="41">
        <f t="shared" si="24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52"/>
        <v>3198.9181300000005</v>
      </c>
      <c r="T242" t="str">
        <f t="shared" ref="T242" si="378">IF(AVERAGE(N241)&lt;S241,"熊",IF(AVERAGE(N241)&gt;S241,"牛",""))</f>
        <v>熊</v>
      </c>
      <c r="U242">
        <f t="shared" ref="U242" si="379">MAX(H242,O242)</f>
        <v>3117.6140999999998</v>
      </c>
      <c r="V242">
        <f t="shared" ref="V242" si="380">MIN(I242,P242)</f>
        <v>3092.2062000000001</v>
      </c>
      <c r="W242" s="40">
        <f t="shared" ref="W242" si="381">LN(U242/V242)</f>
        <v>8.1831810126128789E-3</v>
      </c>
      <c r="X242">
        <f t="shared" ref="X242" si="382">IF(U242=H242,J242,Q242)</f>
        <v>939</v>
      </c>
      <c r="Y242">
        <f t="shared" ref="Y242" si="383">IF(V242=I242,K242,R242)</f>
        <v>1116</v>
      </c>
      <c r="Z242" s="25">
        <f t="shared" ref="Z242" si="384">(U242-V242)/(C242)</f>
        <v>8.1572223469859699E-3</v>
      </c>
      <c r="AA242" s="25">
        <f t="shared" ref="AA242" si="385">LN(C242/N241)</f>
        <v>-4.0103459298315583E-3</v>
      </c>
      <c r="AB242" s="25">
        <f t="shared" ref="AB242" si="386">LN(N242/U242)</f>
        <v>-4.5833756027460343E-3</v>
      </c>
      <c r="AC242" s="25">
        <f t="shared" ref="AC242" si="387">LN(N242/V242)</f>
        <v>3.5998054098667211E-3</v>
      </c>
      <c r="AD242" s="25">
        <f t="shared" ref="AD242" si="388">LN(U242/C242)</f>
        <v>9.1156082676817937E-4</v>
      </c>
      <c r="AE242" s="25">
        <f t="shared" ref="AE242" si="389">LN(V242/C242)</f>
        <v>-7.2716201858445354E-3</v>
      </c>
      <c r="AF242" s="25">
        <f t="shared" ref="AF242" si="390">LN(N242/C242)</f>
        <v>-3.6718147759778196E-3</v>
      </c>
      <c r="AG242" s="25">
        <f t="shared" ref="AG242" si="391">LN(N242/N241)</f>
        <v>-7.682160705809269E-3</v>
      </c>
      <c r="AH242" s="25">
        <f t="shared" ref="AH242" si="392">LN(D242/C242)</f>
        <v>-1.4410462072002982E-3</v>
      </c>
      <c r="AI242" s="25">
        <f t="shared" ref="AI242" si="393">LN(E242/C242)</f>
        <v>-1.3118989315944528E-4</v>
      </c>
      <c r="AJ242" s="25">
        <f t="shared" ref="AJ242" si="394">LN(F242/C242)</f>
        <v>4.3861948072556445E-4</v>
      </c>
      <c r="AK242" s="25">
        <f t="shared" ref="AK242" si="395">+LN(G242/C242)</f>
        <v>-2.7890964617724515E-3</v>
      </c>
      <c r="AL242" s="25">
        <f t="shared" ref="AL242" si="396">LN(H242/I242)</f>
        <v>8.1831810126128789E-3</v>
      </c>
      <c r="AM242" s="25">
        <f t="shared" ref="AM242" si="397">LN(O242/P242)</f>
        <v>3.344570804537852E-3</v>
      </c>
      <c r="AN242" s="25">
        <f t="shared" ref="AN242" si="398">LN(L242/G242)</f>
        <v>0</v>
      </c>
      <c r="AO242" s="40">
        <f t="shared" ref="AO242" si="399">(C242-I242)/(H242-I242)</f>
        <v>0.8882001267322357</v>
      </c>
      <c r="AP242" s="40">
        <f t="shared" ref="AP242" si="400">(N241-I242)/(H242-I242)</f>
        <v>1.3808185643048245</v>
      </c>
      <c r="AQ242" s="25">
        <f t="shared" ref="AQ242" si="401">LN(M242/L242)</f>
        <v>-1.1435988508177973E-3</v>
      </c>
      <c r="AR242" s="25">
        <f t="shared" ref="AR242" si="402">LN(N242/L242)</f>
        <v>-8.8271831420538903E-4</v>
      </c>
      <c r="AS242" s="25">
        <f t="shared" ref="AS242" si="403">LN(N242/C242)</f>
        <v>-3.6718147759778196E-3</v>
      </c>
      <c r="AT242" s="28">
        <f t="shared" ref="AT242" si="404">+(G242-I242)/(H242-I242)</f>
        <v>0.54675907886917019</v>
      </c>
      <c r="AU242" s="28">
        <f t="shared" ref="AU242" si="405">+(N242-P242)/(O242-P242)</f>
        <v>0.59478994998117796</v>
      </c>
      <c r="AV242" s="40">
        <f t="shared" ref="AV242" si="406">+(N242-V242)/(U242-V242)</f>
        <v>0.43889498935369992</v>
      </c>
      <c r="AW242" s="25">
        <f t="shared" ref="AW242" si="407">LN(N242/C242)</f>
        <v>-3.6718147759778196E-3</v>
      </c>
      <c r="AX242" s="28">
        <f t="shared" ref="AX242" si="408">(N242-L242)/(U242-V242)</f>
        <v>-0.10786408951547032</v>
      </c>
      <c r="AY242" s="25">
        <f t="shared" ref="AY242" si="409">LN(G242/I242)</f>
        <v>4.4825237240720683E-3</v>
      </c>
      <c r="AZ242" s="25">
        <f t="shared" ref="AZ242" si="410">LN(N242/P242)</f>
        <v>1.9906648307544358E-3</v>
      </c>
      <c r="BA242" s="25">
        <f t="shared" ref="BA242" si="411">AV241</f>
        <v>0.4767843099491299</v>
      </c>
      <c r="BB242" s="25">
        <f t="shared" ref="BB242" si="412">AR241</f>
        <v>-1.8908084598555114E-3</v>
      </c>
      <c r="BC242" s="25">
        <f t="shared" ref="BC242" si="413">AS241</f>
        <v>5.8870595620894305E-5</v>
      </c>
      <c r="BD242" s="39">
        <f t="shared" ref="BD242" si="414">IF(AR241&lt;0,1,0)</f>
        <v>1</v>
      </c>
      <c r="BE242" t="str">
        <f t="shared" ref="BE242" si="415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16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17">IF(B242=3,IF(AV241&lt;0.85,IF(AND(K242&gt;942,AT242&gt;0.9),0.25,1)*IF(AR241&lt;-0.004,1,0.5),0),"")</f>
        <v/>
      </c>
      <c r="BH242" t="str">
        <f t="shared" ref="BH242" si="418">IF(B242=4,IF(AV241&lt;0.6,IF(AQ242&gt;=0,IF(K242&lt;1018,2,1),0),IF(AV241&gt;0.85,IF(AQ242&lt;=0,-0.5,0),0)),"")</f>
        <v/>
      </c>
      <c r="BI242">
        <f t="shared" ref="BI242" si="419">IF(B242=5,IF(AV241&lt;0.4,IF(AQ242&gt; -0.004,1,0),IF(AV241&lt;0.95,IF(AND(AO242&lt;0.85,AT242&lt;0.95,AQ242&gt;0,K242&lt;1115),0.5,0),0)),"")</f>
        <v>0</v>
      </c>
      <c r="BJ242" s="25" t="str">
        <f t="shared" ref="BJ242" si="420">IF(MAX(BE242:BI242)=0,"",MAX(BE242:BI242)*AR242)</f>
        <v/>
      </c>
    </row>
    <row r="243" spans="1:62">
      <c r="A243" s="1">
        <v>42863</v>
      </c>
      <c r="B243" s="41">
        <f t="shared" si="24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52"/>
        <v>3190.0061700000006</v>
      </c>
      <c r="T243" t="str">
        <f t="shared" ref="T243" si="421">IF(AVERAGE(N242)&lt;S242,"熊",IF(AVERAGE(N242)&gt;S242,"牛",""))</f>
        <v>熊</v>
      </c>
      <c r="U243">
        <f t="shared" ref="U243" si="422">MAX(H243,O243)</f>
        <v>3093.1001999999999</v>
      </c>
      <c r="V243">
        <f t="shared" ref="V243" si="423">MIN(I243,P243)</f>
        <v>3068.0772000000002</v>
      </c>
      <c r="W243" s="40">
        <f t="shared" ref="W243" si="424">LN(U243/V243)</f>
        <v>8.122842749452729E-3</v>
      </c>
      <c r="X243">
        <f t="shared" ref="X243" si="425">IF(U243=H243,J243,Q243)</f>
        <v>934</v>
      </c>
      <c r="Y243">
        <f t="shared" ref="Y243" si="426">IF(V243=I243,K243,R243)</f>
        <v>1331</v>
      </c>
      <c r="Z243" s="25">
        <f t="shared" ref="Z243" si="427">(U243-V243)/(C243)</f>
        <v>8.0978873843825967E-3</v>
      </c>
      <c r="AA243" s="25">
        <f t="shared" ref="AA243" si="428">LN(C243/N242)</f>
        <v>-4.2924311284956397E-3</v>
      </c>
      <c r="AB243" s="25">
        <f t="shared" ref="AB243" si="429">LN(N243/U243)</f>
        <v>-5.2883107490346972E-3</v>
      </c>
      <c r="AC243" s="25">
        <f t="shared" ref="AC243" si="430">LN(N243/V243)</f>
        <v>2.8345320004180201E-3</v>
      </c>
      <c r="AD243" s="25">
        <f t="shared" ref="AD243" si="431">LN(U243/C243)</f>
        <v>9.8169789983076059E-4</v>
      </c>
      <c r="AE243" s="25">
        <f t="shared" ref="AE243" si="432">LN(V243/C243)</f>
        <v>-7.1411448496218133E-3</v>
      </c>
      <c r="AF243" s="25">
        <f t="shared" ref="AF243" si="433">LN(N243/C243)</f>
        <v>-4.3066128492038405E-3</v>
      </c>
      <c r="AG243" s="25">
        <f t="shared" ref="AG243" si="434">LN(N243/N242)</f>
        <v>-8.5990439776994707E-3</v>
      </c>
      <c r="AH243" s="25">
        <f t="shared" ref="AH243" si="435">LN(D243/C243)</f>
        <v>-1.9956262644683416E-4</v>
      </c>
      <c r="AI243" s="25">
        <f t="shared" ref="AI243" si="436">LN(E243/C243)</f>
        <v>-2.0467682074095945E-4</v>
      </c>
      <c r="AJ243" s="25">
        <f t="shared" ref="AJ243" si="437">LN(F243/C243)</f>
        <v>-2.8890294728863415E-4</v>
      </c>
      <c r="AK243" s="25">
        <f t="shared" ref="AK243" si="438">+LN(G243/C243)</f>
        <v>-5.0347152529403548E-3</v>
      </c>
      <c r="AL243" s="25">
        <f t="shared" ref="AL243" si="439">LN(H243/I243)</f>
        <v>6.7645755630477847E-3</v>
      </c>
      <c r="AM243" s="25">
        <f t="shared" ref="AM243" si="440">LN(O243/P243)</f>
        <v>6.6154838221896975E-3</v>
      </c>
      <c r="AN243" s="25">
        <f t="shared" ref="AN243" si="441">LN(L243/G243)</f>
        <v>0</v>
      </c>
      <c r="AO243" s="40">
        <f t="shared" ref="AO243" si="442">(C243-I243)/(H243-I243)</f>
        <v>0.85445669427274507</v>
      </c>
      <c r="AP243" s="40">
        <f t="shared" ref="AP243" si="443">(N242-I243)/(H243-I243)</f>
        <v>1.4918932138935126</v>
      </c>
      <c r="AQ243" s="25">
        <f t="shared" ref="AQ243" si="444">LN(M243/L243)</f>
        <v>2.6117512857829991E-4</v>
      </c>
      <c r="AR243" s="25">
        <f t="shared" ref="AR243" si="445">LN(N243/L243)</f>
        <v>7.2810240373649205E-4</v>
      </c>
      <c r="AS243" s="25">
        <f t="shared" ref="AS243" si="446">LN(N243/C243)</f>
        <v>-4.3066128492038405E-3</v>
      </c>
      <c r="AT243" s="28">
        <f t="shared" ref="AT243" si="447">+(G243-I243)/(H243-I243)</f>
        <v>0.11026763663566663</v>
      </c>
      <c r="AU243" s="28">
        <f t="shared" ref="AU243" si="448">+(N243-P243)/(O243-P243)</f>
        <v>0.4276594595390773</v>
      </c>
      <c r="AV243" s="40">
        <f t="shared" ref="AV243" si="449">+(N243-V243)/(U243-V243)</f>
        <v>0.3480358070574967</v>
      </c>
      <c r="AW243" s="25">
        <f t="shared" ref="AW243" si="450">LN(N243/C243)</f>
        <v>-4.3066128492038405E-3</v>
      </c>
      <c r="AX243" s="28">
        <f t="shared" ref="AX243" si="451">(N243-L243)/(U243-V243)</f>
        <v>8.9493665827437188E-2</v>
      </c>
      <c r="AY243" s="25">
        <f t="shared" ref="AY243" si="452">LN(G243/I243)</f>
        <v>7.4816241027654811E-4</v>
      </c>
      <c r="AZ243" s="25">
        <f t="shared" ref="AZ243" si="453">LN(N243/P243)</f>
        <v>2.8345320004180201E-3</v>
      </c>
      <c r="BA243" s="25">
        <f t="shared" ref="BA243" si="454">AV242</f>
        <v>0.43889498935369992</v>
      </c>
      <c r="BB243" s="25">
        <f t="shared" ref="BB243" si="455">AR242</f>
        <v>-8.8271831420538903E-4</v>
      </c>
      <c r="BC243" s="25">
        <f t="shared" ref="BC243" si="456">AS242</f>
        <v>-3.6718147759778196E-3</v>
      </c>
      <c r="BD243" s="39">
        <f t="shared" ref="BD243" si="457">IF(AR242&lt;0,1,0)</f>
        <v>1</v>
      </c>
      <c r="BE243" t="str">
        <f t="shared" ref="BE243" si="458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459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460">IF(B243=3,IF(AV242&lt;0.85,IF(AND(K243&gt;942,AT243&gt;0.9),0.25,1)*IF(AR242&lt;-0.004,1,0.5),0),"")</f>
        <v/>
      </c>
      <c r="BH243" t="str">
        <f t="shared" ref="BH243" si="461">IF(B243=4,IF(AV242&lt;0.6,IF(AQ243&gt;=0,IF(K243&lt;1018,2,1),0),IF(AV242&gt;0.85,IF(AQ243&lt;=0,-0.5,0),0)),"")</f>
        <v/>
      </c>
      <c r="BI243" t="str">
        <f t="shared" ref="BI243" si="462">IF(B243=5,IF(AV242&lt;0.4,IF(AQ243&gt; -0.004,1,0),IF(AV242&lt;0.95,IF(AND(AO243&lt;0.85,AT243&lt;0.95,AQ243&gt;0,K243&lt;1115),0.5,0),0)),"")</f>
        <v/>
      </c>
      <c r="BJ243" s="25" t="str">
        <f t="shared" ref="BJ243" si="463">IF(MAX(BE243:BI243)=0,"",MAX(BE243:BI243)*AR243)</f>
        <v/>
      </c>
    </row>
    <row r="244" spans="1:62">
      <c r="A244" s="1">
        <v>42864</v>
      </c>
      <c r="B244" s="41">
        <f t="shared" si="24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52"/>
        <v>3179.49442</v>
      </c>
      <c r="T244" t="str">
        <f t="shared" ref="T244" si="464">IF(AVERAGE(N243)&lt;S243,"熊",IF(AVERAGE(N243)&gt;S243,"牛",""))</f>
        <v>熊</v>
      </c>
      <c r="U244">
        <f t="shared" ref="U244" si="465">MAX(H244,O244)</f>
        <v>3084.2</v>
      </c>
      <c r="V244">
        <f t="shared" ref="V244" si="466">MIN(I244,P244)</f>
        <v>3056.79</v>
      </c>
      <c r="W244" s="40">
        <f t="shared" ref="W244" si="467">LN(U244/V244)</f>
        <v>8.9269586911397379E-3</v>
      </c>
      <c r="X244">
        <f t="shared" ref="X244" si="468">IF(U244=H244,J244,Q244)</f>
        <v>1107</v>
      </c>
      <c r="Y244">
        <f t="shared" ref="Y244" si="469">IF(V244=I244,K244,R244)</f>
        <v>1035</v>
      </c>
      <c r="Z244" s="25">
        <f t="shared" ref="Z244" si="470">(U244-V244)/(C244)</f>
        <v>8.9433414359592987E-3</v>
      </c>
      <c r="AA244" s="25">
        <f t="shared" ref="AA244" si="471">LN(C244/N243)</f>
        <v>-3.8869496119841346E-3</v>
      </c>
      <c r="AB244" s="25">
        <f t="shared" ref="AB244" si="472">LN(N244/U244)</f>
        <v>-1.1906443375652802E-3</v>
      </c>
      <c r="AC244" s="25">
        <f t="shared" ref="AC244" si="473">LN(N244/V244)</f>
        <v>7.7363143535743922E-3</v>
      </c>
      <c r="AD244" s="25">
        <f t="shared" ref="AD244" si="474">LN(U244/C244)</f>
        <v>6.2936758919368658E-3</v>
      </c>
      <c r="AE244" s="25">
        <f t="shared" ref="AE244" si="475">LN(V244/C244)</f>
        <v>-2.6332827992027854E-3</v>
      </c>
      <c r="AF244" s="25">
        <f t="shared" ref="AF244" si="476">LN(N244/C244)</f>
        <v>5.1030315543715973E-3</v>
      </c>
      <c r="AG244" s="25">
        <f t="shared" ref="AG244" si="477">LN(N244/N243)</f>
        <v>1.2160819423876078E-3</v>
      </c>
      <c r="AH244" s="25">
        <f t="shared" ref="AH244" si="478">LN(D244/C244)</f>
        <v>1.2724119891416663E-4</v>
      </c>
      <c r="AI244" s="25">
        <f t="shared" ref="AI244" si="479">LN(E244/C244)</f>
        <v>2.4701508988363968E-3</v>
      </c>
      <c r="AJ244" s="25">
        <f t="shared" ref="AJ244" si="480">LN(F244/C244)</f>
        <v>4.8277820215557657E-4</v>
      </c>
      <c r="AK244" s="25">
        <f t="shared" ref="AK244" si="481">+LN(G244/C244)</f>
        <v>3.7289475970241283E-3</v>
      </c>
      <c r="AL244" s="25">
        <f t="shared" ref="AL244" si="482">LN(H244/I244)</f>
        <v>8.9269586911397379E-3</v>
      </c>
      <c r="AM244" s="25">
        <f t="shared" ref="AM244" si="483">LN(O244/P244)</f>
        <v>5.677823996321019E-3</v>
      </c>
      <c r="AN244" s="25">
        <f t="shared" ref="AN244" si="484">LN(L244/G244)</f>
        <v>6.401747213142094E-4</v>
      </c>
      <c r="AO244" s="40">
        <f t="shared" ref="AO244" si="485">(C244-I244)/(H244-I244)</f>
        <v>0.29405326523166686</v>
      </c>
      <c r="AP244" s="40">
        <f t="shared" ref="AP244" si="486">(N243-I244)/(H244-I244)</f>
        <v>0.72951842393286936</v>
      </c>
      <c r="AQ244" s="25">
        <f t="shared" ref="AQ244" si="487">LN(M244/L244)</f>
        <v>-3.1841132513692969E-4</v>
      </c>
      <c r="AR244" s="25">
        <f t="shared" ref="AR244" si="488">LN(N244/L244)</f>
        <v>7.3390923603332508E-4</v>
      </c>
      <c r="AS244" s="25">
        <f t="shared" ref="AS244" si="489">LN(N244/C244)</f>
        <v>5.1030315543715973E-3</v>
      </c>
      <c r="AT244" s="28">
        <f t="shared" ref="AT244" si="490">+(G244-I244)/(H244-I244)</f>
        <v>0.71178402043051159</v>
      </c>
      <c r="AU244" s="28">
        <f t="shared" ref="AU244" si="491">+(N244-P244)/(O244-P244)</f>
        <v>0.80927835051546848</v>
      </c>
      <c r="AV244" s="40">
        <f t="shared" ref="AV244" si="492">+(N244-V244)/(U244-V244)</f>
        <v>0.86610726012405559</v>
      </c>
      <c r="AW244" s="25">
        <f t="shared" ref="AW244" si="493">LN(N244/C244)</f>
        <v>5.1030315543715973E-3</v>
      </c>
      <c r="AX244" s="28">
        <f t="shared" ref="AX244" si="494">(N244-L244)/(U244-V244)</f>
        <v>8.2451659978118583E-2</v>
      </c>
      <c r="AY244" s="25">
        <f t="shared" ref="AY244" si="495">LN(G244/I244)</f>
        <v>6.3622303962270546E-3</v>
      </c>
      <c r="AZ244" s="25">
        <f t="shared" ref="AZ244" si="496">LN(N244/P244)</f>
        <v>4.5974250196453171E-3</v>
      </c>
      <c r="BA244" s="25">
        <f t="shared" ref="BA244" si="497">AV243</f>
        <v>0.3480358070574967</v>
      </c>
      <c r="BB244" s="25">
        <f t="shared" ref="BB244" si="498">AR243</f>
        <v>7.2810240373649205E-4</v>
      </c>
      <c r="BC244" s="25">
        <f t="shared" ref="BC244" si="499">AS243</f>
        <v>-4.3066128492038405E-3</v>
      </c>
      <c r="BD244" s="39">
        <f t="shared" ref="BD244" si="500">IF(AR243&lt;0,1,0)</f>
        <v>0</v>
      </c>
      <c r="BE244">
        <f t="shared" ref="BE244" si="501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02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03">IF(B244=3,IF(AV243&lt;0.85,IF(AND(K244&gt;942,AT244&gt;0.9),0.25,1)*IF(AR243&lt;-0.004,1,0.5),0),"")</f>
        <v/>
      </c>
      <c r="BH244" t="str">
        <f t="shared" ref="BH244" si="504">IF(B244=4,IF(AV243&lt;0.6,IF(AQ244&gt;=0,IF(K244&lt;1018,2,1),0),IF(AV243&gt;0.85,IF(AQ244&lt;=0,-0.5,0),0)),"")</f>
        <v/>
      </c>
      <c r="BI244" t="str">
        <f t="shared" ref="BI244" si="505">IF(B244=5,IF(AV243&lt;0.4,IF(AQ244&gt; -0.004,1,0),IF(AV243&lt;0.95,IF(AND(AO244&lt;0.85,AT244&lt;0.95,AQ244&gt;0,K244&lt;1115),0.5,0),0)),"")</f>
        <v/>
      </c>
      <c r="BJ244" s="25">
        <f t="shared" ref="BJ244" si="506">IF(MAX(BE244:BI244)=0,"",MAX(BE244:BI244)*AR244)</f>
        <v>7.3390923603332508E-4</v>
      </c>
    </row>
    <row r="245" spans="1:62">
      <c r="A245" s="1">
        <v>42865</v>
      </c>
      <c r="B245" s="41">
        <f t="shared" ref="B245" si="507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52"/>
        <v>3170.0149299999998</v>
      </c>
      <c r="T245" t="str">
        <f t="shared" ref="T245" si="508">IF(AVERAGE(N244)&lt;S244,"熊",IF(AVERAGE(N244)&gt;S244,"牛",""))</f>
        <v>熊</v>
      </c>
      <c r="U245">
        <f t="shared" ref="U245" si="509">MAX(H245,O245)</f>
        <v>3090.81</v>
      </c>
      <c r="V245">
        <f t="shared" ref="V245" si="510">MIN(I245,P245)</f>
        <v>3051.65</v>
      </c>
      <c r="W245" s="40">
        <f t="shared" ref="W245" si="511">LN(U245/V245)</f>
        <v>1.2750764533365941E-2</v>
      </c>
      <c r="X245">
        <f t="shared" ref="X245" si="512">IF(U245=H245,J245,Q245)</f>
        <v>1302</v>
      </c>
      <c r="Y245">
        <f t="shared" ref="Y245" si="513">IF(V245=I245,K245,R245)</f>
        <v>1459</v>
      </c>
      <c r="Z245" s="25">
        <f t="shared" ref="Z245" si="514">(U245-V245)/(C245)</f>
        <v>1.2721844472527461E-2</v>
      </c>
      <c r="AA245" s="25">
        <f t="shared" ref="AA245" si="515">LN(C245/N244)</f>
        <v>-7.6639554305773323E-4</v>
      </c>
      <c r="AB245" s="25">
        <f t="shared" ref="AB245" si="516">LN(N245/U245)</f>
        <v>-1.2567274085822608E-2</v>
      </c>
      <c r="AC245" s="25">
        <f t="shared" ref="AC245" si="517">LN(N245/V245)</f>
        <v>1.8349044754338407E-4</v>
      </c>
      <c r="AD245" s="25">
        <f t="shared" ref="AD245" si="518">LN(U245/C245)</f>
        <v>4.0979279195702632E-3</v>
      </c>
      <c r="AE245" s="25">
        <f t="shared" ref="AE245" si="519">LN(V245/C245)</f>
        <v>-8.6528366137956399E-3</v>
      </c>
      <c r="AF245" s="25">
        <f t="shared" ref="AF245" si="520">LN(N245/C245)</f>
        <v>-8.4693461662522247E-3</v>
      </c>
      <c r="AG245" s="25">
        <f t="shared" ref="AG245" si="521">LN(N245/N244)</f>
        <v>-9.2357417093100018E-3</v>
      </c>
      <c r="AH245" s="25">
        <f t="shared" ref="AH245" si="522">LN(D245/C245)</f>
        <v>6.1056605915482405E-4</v>
      </c>
      <c r="AI245" s="25">
        <f t="shared" ref="AI245" si="523">LN(E245/C245)</f>
        <v>1.9602822072516536E-3</v>
      </c>
      <c r="AJ245" s="25">
        <f t="shared" ref="AJ245" si="524">LN(F245/C245)</f>
        <v>1.8565225404865936E-3</v>
      </c>
      <c r="AK245" s="25">
        <f t="shared" ref="AK245" si="525">+LN(G245/C245)</f>
        <v>3.4992001173173438E-3</v>
      </c>
      <c r="AL245" s="25">
        <f t="shared" ref="AL245" si="526">LN(H245/I245)</f>
        <v>3.8940770794357884E-3</v>
      </c>
      <c r="AM245" s="25">
        <f t="shared" ref="AM245" si="527">LN(O245/P245)</f>
        <v>1.2750764533365941E-2</v>
      </c>
      <c r="AN245" s="25">
        <f t="shared" ref="AN245" si="528">LN(L245/G245)</f>
        <v>-7.769907153521253E-5</v>
      </c>
      <c r="AO245" s="40">
        <f t="shared" ref="AO245" si="529">(C245-I245)/(H245-I245)</f>
        <v>0</v>
      </c>
      <c r="AP245" s="40">
        <f t="shared" ref="AP245" si="530">(N244-I245)/(H245-I245)</f>
        <v>0.19650291423814936</v>
      </c>
      <c r="AQ245" s="25">
        <f t="shared" ref="AQ245" si="531">LN(M245/L245)</f>
        <v>-7.5788249971823357E-4</v>
      </c>
      <c r="AR245" s="25">
        <f t="shared" ref="AR245" si="532">LN(N245/L245)</f>
        <v>-1.1890847212034301E-2</v>
      </c>
      <c r="AS245" s="25">
        <f t="shared" ref="AS245" si="533">LN(N245/C245)</f>
        <v>-8.4693461662522247E-3</v>
      </c>
      <c r="AT245" s="28">
        <f t="shared" ref="AT245" si="534">+(G245-I245)/(H245-I245)</f>
        <v>0.89841798501250425</v>
      </c>
      <c r="AU245" s="28">
        <f t="shared" ref="AU245" si="535">+(N245-P245)/(O245-P245)</f>
        <v>1.4300306435136556E-2</v>
      </c>
      <c r="AV245" s="40">
        <f t="shared" ref="AV245" si="536">+(N245-V245)/(U245-V245)</f>
        <v>1.4300306435136556E-2</v>
      </c>
      <c r="AW245" s="25">
        <f t="shared" ref="AW245" si="537">LN(N245/C245)</f>
        <v>-8.4693461662522247E-3</v>
      </c>
      <c r="AX245" s="28">
        <f t="shared" ref="AX245" si="538">(N245-L245)/(U245-V245)</f>
        <v>-0.93232890704800564</v>
      </c>
      <c r="AY245" s="25">
        <f t="shared" ref="AY245" si="539">LN(G245/I245)</f>
        <v>3.4992001173173438E-3</v>
      </c>
      <c r="AZ245" s="25">
        <f t="shared" ref="AZ245" si="540">LN(N245/P245)</f>
        <v>1.8349044754338407E-4</v>
      </c>
      <c r="BA245" s="25">
        <f t="shared" ref="BA245" si="541">AV244</f>
        <v>0.86610726012405559</v>
      </c>
      <c r="BB245" s="25">
        <f t="shared" ref="BB245" si="542">AR244</f>
        <v>7.3390923603332508E-4</v>
      </c>
      <c r="BC245" s="25">
        <f t="shared" ref="BC245" si="543">AS244</f>
        <v>5.1030315543715973E-3</v>
      </c>
      <c r="BD245" s="39">
        <f t="shared" ref="BD245" si="544">IF(AR244&lt;0,1,0)</f>
        <v>0</v>
      </c>
      <c r="BE245" t="str">
        <f t="shared" ref="BE245" si="545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46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47">IF(B245=3,IF(AV244&lt;0.85,IF(AND(K245&gt;942,AT245&gt;0.9),0.25,1)*IF(AR244&lt;-0.004,1,0.5),0),"")</f>
        <v>0</v>
      </c>
      <c r="BH245" t="str">
        <f t="shared" ref="BH245" si="548">IF(B245=4,IF(AV244&lt;0.6,IF(AQ245&gt;=0,IF(K245&lt;1018,2,1),0),IF(AV244&gt;0.85,IF(AQ245&lt;=0,-0.5,0),0)),"")</f>
        <v/>
      </c>
      <c r="BI245" t="str">
        <f t="shared" ref="BI245" si="549">IF(B245=5,IF(AV244&lt;0.4,IF(AQ245&gt; -0.004,1,0),IF(AV244&lt;0.95,IF(AND(AO245&lt;0.85,AT245&lt;0.95,AQ245&gt;0,K245&lt;1115),0.5,0),0)),"")</f>
        <v/>
      </c>
      <c r="BJ245" s="25" t="str">
        <f t="shared" ref="BJ245" si="550">IF(MAX(BE245:BI245)=0,"",MAX(BE245:BI245)*AR245)</f>
        <v/>
      </c>
    </row>
    <row r="246" spans="1:62">
      <c r="A246" s="1">
        <v>42866</v>
      </c>
      <c r="B246" s="41">
        <f t="shared" ref="B246" si="551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52"/>
        <v>3158.215725</v>
      </c>
      <c r="T246" t="str">
        <f t="shared" ref="T246" si="552">IF(AVERAGE(N245)&lt;S245,"熊",IF(AVERAGE(N245)&gt;S245,"牛",""))</f>
        <v>熊</v>
      </c>
      <c r="U246">
        <f t="shared" ref="U246" si="553">MAX(H246,O246)</f>
        <v>3063.38</v>
      </c>
      <c r="V246">
        <f t="shared" ref="V246" si="554">MIN(I246,P246)</f>
        <v>3016.8</v>
      </c>
      <c r="W246" s="40">
        <f t="shared" ref="W246" si="555">LN(U246/V246)</f>
        <v>1.5322214571385752E-2</v>
      </c>
      <c r="X246">
        <f t="shared" ref="X246" si="556">IF(U246=H246,J246,Q246)</f>
        <v>1437</v>
      </c>
      <c r="Y246">
        <f t="shared" ref="Y246" si="557">IF(V246=I246,K246,R246)</f>
        <v>1334</v>
      </c>
      <c r="Z246" s="25">
        <f t="shared" ref="Z246" si="558">(U246-V246)/(C246)</f>
        <v>1.5338615243777925E-2</v>
      </c>
      <c r="AA246" s="25">
        <f t="shared" ref="AA246" si="559">LN(C246/N245)</f>
        <v>-5.0681748626325226E-3</v>
      </c>
      <c r="AB246" s="25">
        <f t="shared" ref="AB246" si="560">LN(N246/U246)</f>
        <v>-6.8901899160820951E-4</v>
      </c>
      <c r="AC246" s="25">
        <f t="shared" ref="AC246" si="561">LN(N246/V246)</f>
        <v>1.4633195579777557E-2</v>
      </c>
      <c r="AD246" s="25">
        <f t="shared" ref="AD246" si="562">LN(U246/C246)</f>
        <v>8.7211380014849266E-3</v>
      </c>
      <c r="AE246" s="25">
        <f t="shared" ref="AE246" si="563">LN(V246/C246)</f>
        <v>-6.6010765699008522E-3</v>
      </c>
      <c r="AF246" s="25">
        <f t="shared" ref="AF246" si="564">LN(N246/C246)</f>
        <v>8.0321190098767911E-3</v>
      </c>
      <c r="AG246" s="25">
        <f t="shared" ref="AG246" si="565">LN(N246/N245)</f>
        <v>2.9639441472442394E-3</v>
      </c>
      <c r="AH246" s="25">
        <f t="shared" ref="AH246" si="566">LN(D246/C246)</f>
        <v>-1.7665869265912049E-3</v>
      </c>
      <c r="AI246" s="25">
        <f t="shared" ref="AI246" si="567">LN(E246/C246)</f>
        <v>1.5234801463974771E-3</v>
      </c>
      <c r="AJ246" s="25">
        <f t="shared" ref="AJ246" si="568">LN(F246/C246)</f>
        <v>-1.037821261737401E-3</v>
      </c>
      <c r="AK246" s="25">
        <f t="shared" ref="AK246" si="569">+LN(G246/C246)</f>
        <v>1.2702760444534597E-3</v>
      </c>
      <c r="AL246" s="25">
        <f t="shared" ref="AL246" si="570">LN(H246/I246)</f>
        <v>6.1012600606140362E-3</v>
      </c>
      <c r="AM246" s="25">
        <f t="shared" ref="AM246" si="571">LN(O246/P246)</f>
        <v>1.5322214571385752E-2</v>
      </c>
      <c r="AN246" s="25">
        <f t="shared" ref="AN246" si="572">LN(L246/G246)</f>
        <v>-1.1840313650576901E-4</v>
      </c>
      <c r="AO246" s="40">
        <f t="shared" ref="AO246" si="573">(C246-I246)/(H246-I246)</f>
        <v>0.30673854447440096</v>
      </c>
      <c r="AP246" s="40">
        <f t="shared" ref="AP246" si="574">(N245-I246)/(H246-I246)</f>
        <v>1.1385444743935418</v>
      </c>
      <c r="AQ246" s="25">
        <f t="shared" ref="AQ246" si="575">LN(M246/L246)</f>
        <v>-3.7996232912605541E-3</v>
      </c>
      <c r="AR246" s="25">
        <f t="shared" ref="AR246" si="576">LN(N246/L246)</f>
        <v>6.8802461019290273E-3</v>
      </c>
      <c r="AS246" s="25">
        <f t="shared" ref="AS246" si="577">LN(N246/C246)</f>
        <v>8.0321190098767911E-3</v>
      </c>
      <c r="AT246" s="28">
        <f t="shared" ref="AT246" si="578">+(G246-I246)/(H246-I246)</f>
        <v>0.51482479784365864</v>
      </c>
      <c r="AU246" s="28">
        <f t="shared" ref="AU246" si="579">+(N246-P246)/(O246-P246)</f>
        <v>0.95470158866466015</v>
      </c>
      <c r="AV246" s="40">
        <f t="shared" ref="AV246" si="580">+(N246-V246)/(U246-V246)</f>
        <v>0.95470158866466015</v>
      </c>
      <c r="AW246" s="25">
        <f t="shared" ref="AW246" si="581">LN(N246/C246)</f>
        <v>8.0321190098767911E-3</v>
      </c>
      <c r="AX246" s="28">
        <f t="shared" ref="AX246" si="582">(N246-L246)/(U246-V246)</f>
        <v>0.45062258480033951</v>
      </c>
      <c r="AY246" s="25">
        <f t="shared" ref="AY246" si="583">LN(G246/I246)</f>
        <v>3.1457287709612427E-3</v>
      </c>
      <c r="AZ246" s="25">
        <f t="shared" ref="AZ246" si="584">LN(N246/P246)</f>
        <v>1.4633195579777557E-2</v>
      </c>
      <c r="BA246" s="25">
        <f t="shared" ref="BA246" si="585">AV245</f>
        <v>1.4300306435136556E-2</v>
      </c>
      <c r="BB246" s="25">
        <f t="shared" ref="BB246" si="586">AR245</f>
        <v>-1.1890847212034301E-2</v>
      </c>
      <c r="BC246" s="25">
        <f t="shared" ref="BC246" si="587">AS245</f>
        <v>-8.4693461662522247E-3</v>
      </c>
      <c r="BD246" s="39">
        <f t="shared" ref="BD246" si="588">IF(AR245&lt;0,1,0)</f>
        <v>1</v>
      </c>
      <c r="BE246" t="str">
        <f t="shared" ref="BE246" si="589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590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591">IF(B246=3,IF(AV245&lt;0.85,IF(AND(K246&gt;942,AT246&gt;0.9),0.25,1)*IF(AR245&lt;-0.004,1,0.5),0),"")</f>
        <v/>
      </c>
      <c r="BH246">
        <f t="shared" ref="BH246" si="592">IF(B246=4,IF(AV245&lt;0.6,IF(AQ246&gt;=0,IF(K246&lt;1018,2,1),0),IF(AV245&gt;0.85,IF(AQ246&lt;=0,-0.5,0),0)),"")</f>
        <v>0</v>
      </c>
      <c r="BI246" t="str">
        <f t="shared" ref="BI246" si="593">IF(B246=5,IF(AV245&lt;0.4,IF(AQ246&gt; -0.004,1,0),IF(AV245&lt;0.95,IF(AND(AO246&lt;0.85,AT246&lt;0.95,AQ246&gt;0,K246&lt;1115),0.5,0),0)),"")</f>
        <v/>
      </c>
      <c r="BJ246" s="25" t="str">
        <f t="shared" ref="BJ246" si="594">IF(MAX(BE246:BI246)=0,"",MAX(BE246:BI246)*AR246)</f>
        <v/>
      </c>
    </row>
    <row r="247" spans="1:62">
      <c r="A247" s="1">
        <v>42867</v>
      </c>
      <c r="B247" s="41">
        <f t="shared" si="24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52"/>
        <v>3147.552745</v>
      </c>
      <c r="T247" t="str">
        <f t="shared" ref="T247" si="595">IF(AVERAGE(N246)&lt;S246,"熊",IF(AVERAGE(N246)&gt;S246,"牛",""))</f>
        <v>熊</v>
      </c>
      <c r="U247">
        <f t="shared" ref="U247" si="596">MAX(H247,O247)</f>
        <v>3090.41</v>
      </c>
      <c r="V247">
        <f t="shared" ref="V247" si="597">MIN(I247,P247)</f>
        <v>3052.03</v>
      </c>
      <c r="W247" s="40">
        <f t="shared" ref="W247" si="598">LN(U247/V247)</f>
        <v>1.249682519795505E-2</v>
      </c>
      <c r="X247">
        <f t="shared" ref="X247" si="599">IF(U247=H247,J247,Q247)</f>
        <v>1347</v>
      </c>
      <c r="Y247">
        <f t="shared" ref="Y247" si="600">IF(V247=I247,K247,R247)</f>
        <v>932</v>
      </c>
      <c r="Z247" s="25">
        <f t="shared" ref="Z247" si="601">(U247-V247)/(C247)</f>
        <v>1.2566672451221355E-2</v>
      </c>
      <c r="AA247" s="25">
        <f t="shared" ref="AA247" si="602">LN(C247/N246)</f>
        <v>-2.3416380573842467E-3</v>
      </c>
      <c r="AB247" s="25">
        <f t="shared" ref="AB247" si="603">LN(N247/U247)</f>
        <v>-2.4395431721123202E-3</v>
      </c>
      <c r="AC247" s="25">
        <f t="shared" ref="AC247" si="604">LN(N247/V247)</f>
        <v>1.0057282025842633E-2</v>
      </c>
      <c r="AD247" s="25">
        <f t="shared" ref="AD247" si="605">LN(U247/C247)</f>
        <v>1.1815543707372807E-2</v>
      </c>
      <c r="AE247" s="25">
        <f t="shared" ref="AE247" si="606">LN(V247/C247)</f>
        <v>-6.8128149058214733E-4</v>
      </c>
      <c r="AF247" s="25">
        <f t="shared" ref="AF247" si="607">LN(N247/C247)</f>
        <v>9.3760005352604356E-3</v>
      </c>
      <c r="AG247" s="25">
        <f t="shared" ref="AG247" si="608">LN(N247/N246)</f>
        <v>7.0343624778762947E-3</v>
      </c>
      <c r="AH247" s="25">
        <f t="shared" ref="AH247" si="609">LN(D247/C247)</f>
        <v>-6.1575348224979102E-4</v>
      </c>
      <c r="AI247" s="25">
        <f t="shared" ref="AI247" si="610">LN(E247/C247)</f>
        <v>1.7338624320433131E-3</v>
      </c>
      <c r="AJ247" s="25">
        <f t="shared" ref="AJ247" si="611">LN(F247/C247)</f>
        <v>2.5147538314401292E-3</v>
      </c>
      <c r="AK247" s="25">
        <f t="shared" ref="AK247" si="612">+LN(G247/C247)</f>
        <v>6.078192779769483E-3</v>
      </c>
      <c r="AL247" s="25">
        <f t="shared" ref="AL247" si="613">LN(H247/I247)</f>
        <v>7.7483334222487026E-3</v>
      </c>
      <c r="AM247" s="25">
        <f t="shared" ref="AM247" si="614">LN(O247/P247)</f>
        <v>5.8447530493866782E-3</v>
      </c>
      <c r="AN247" s="25">
        <f t="shared" ref="AN247" si="615">LN(L247/G247)</f>
        <v>6.1832352984784374E-5</v>
      </c>
      <c r="AO247" s="40">
        <f t="shared" ref="AO247" si="616">(C247-I247)/(H247-I247)</f>
        <v>8.7615838247680974E-2</v>
      </c>
      <c r="AP247" s="40">
        <f t="shared" ref="AP247" si="617">(N246-I247)/(H247-I247)</f>
        <v>0.38921651221566411</v>
      </c>
      <c r="AQ247" s="25">
        <f t="shared" ref="AQ247" si="618">LN(M247/L247)</f>
        <v>1.388593272677954E-3</v>
      </c>
      <c r="AR247" s="25">
        <f t="shared" ref="AR247" si="619">LN(N247/L247)</f>
        <v>3.235975402506296E-3</v>
      </c>
      <c r="AS247" s="25">
        <f t="shared" ref="AS247" si="620">LN(N247/C247)</f>
        <v>9.3760005352604356E-3</v>
      </c>
      <c r="AT247" s="28">
        <f t="shared" ref="AT247" si="621">+(G247-I247)/(H247-I247)</f>
        <v>0.87194608256107875</v>
      </c>
      <c r="AU247" s="28">
        <f t="shared" ref="AU247" si="622">+(N247-P247)/(O247-P247)</f>
        <v>0.58189894503054729</v>
      </c>
      <c r="AV247" s="40">
        <f t="shared" ref="AV247" si="623">+(N247-V247)/(U247-V247)</f>
        <v>0.80380406461699283</v>
      </c>
      <c r="AW247" s="25">
        <f t="shared" ref="AW247" si="624">LN(N247/C247)</f>
        <v>9.3760005352604356E-3</v>
      </c>
      <c r="AX247" s="28">
        <f t="shared" ref="AX247" si="625">(N247-L247)/(U247-V247)</f>
        <v>0.25951016154247331</v>
      </c>
      <c r="AY247" s="25">
        <f t="shared" ref="AY247" si="626">LN(G247/I247)</f>
        <v>6.7594742703514631E-3</v>
      </c>
      <c r="AZ247" s="25">
        <f t="shared" ref="AZ247" si="627">LN(N247/P247)</f>
        <v>3.4052098772743814E-3</v>
      </c>
      <c r="BA247" s="25">
        <f t="shared" ref="BA247" si="628">AV246</f>
        <v>0.95470158866466015</v>
      </c>
      <c r="BB247" s="25">
        <f t="shared" ref="BB247" si="629">AR246</f>
        <v>6.8802461019290273E-3</v>
      </c>
      <c r="BC247" s="25">
        <f t="shared" ref="BC247" si="630">AS246</f>
        <v>8.0321190098767911E-3</v>
      </c>
      <c r="BD247" s="39">
        <f t="shared" ref="BD247" si="631">IF(AR246&lt;0,1,0)</f>
        <v>0</v>
      </c>
      <c r="BE247" t="str">
        <f t="shared" ref="BE247" si="632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33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34">IF(B247=3,IF(AV246&lt;0.85,IF(AND(K247&gt;942,AT247&gt;0.9),0.25,1)*IF(AR246&lt;-0.004,1,0.5),0),"")</f>
        <v/>
      </c>
      <c r="BH247" t="str">
        <f t="shared" ref="BH247" si="635">IF(B247=4,IF(AV246&lt;0.6,IF(AQ247&gt;=0,IF(K247&lt;1018,2,1),0),IF(AV246&gt;0.85,IF(AQ247&lt;=0,-0.5,0),0)),"")</f>
        <v/>
      </c>
      <c r="BI247">
        <f t="shared" ref="BI247" si="636">IF(B247=5,IF(AV246&lt;0.4,IF(AQ247&gt; -0.004,1,0),IF(AV246&lt;0.95,IF(AND(AO247&lt;0.85,AT247&lt;0.95,AQ247&gt;0,K247&lt;1115),0.5,0),0)),"")</f>
        <v>0</v>
      </c>
      <c r="BJ247" s="25" t="str">
        <f t="shared" ref="BJ247" si="637">IF(MAX(BE247:BI247)=0,"",MAX(BE247:BI247)*AR247)</f>
        <v/>
      </c>
    </row>
    <row r="248" spans="1:62">
      <c r="A248" s="1">
        <v>42870</v>
      </c>
      <c r="B248" s="41">
        <f t="shared" si="24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52"/>
        <v>3137.8930699999996</v>
      </c>
      <c r="T248" t="str">
        <f t="shared" ref="T248" si="638">IF(AVERAGE(N247)&lt;S247,"熊",IF(AVERAGE(N247)&gt;S247,"牛",""))</f>
        <v>熊</v>
      </c>
      <c r="U248">
        <f t="shared" ref="U248" si="639">MAX(H248,O248)</f>
        <v>3098.8761</v>
      </c>
      <c r="V248">
        <f t="shared" ref="V248" si="640">MIN(I248,P248)</f>
        <v>3085.9319</v>
      </c>
      <c r="W248" s="40">
        <f t="shared" ref="W248" si="641">LN(U248/V248)</f>
        <v>4.1858110711343972E-3</v>
      </c>
      <c r="X248">
        <f t="shared" ref="X248" si="642">IF(U248=H248,J248,Q248)</f>
        <v>938</v>
      </c>
      <c r="Y248">
        <f t="shared" ref="Y248" si="643">IF(V248=I248,K248,R248)</f>
        <v>930</v>
      </c>
      <c r="Z248" s="25">
        <f t="shared" ref="Z248" si="644">(U248-V248)/(C248)</f>
        <v>4.1945838143738392E-3</v>
      </c>
      <c r="AA248" s="25">
        <f t="shared" ref="AA248" si="645">LN(C248/N247)</f>
        <v>9.8946127664955295E-4</v>
      </c>
      <c r="AB248" s="25">
        <f t="shared" ref="AB248" si="646">LN(N248/U248)</f>
        <v>-2.5423754692786384E-3</v>
      </c>
      <c r="AC248" s="25">
        <f t="shared" ref="AC248" si="647">LN(N248/V248)</f>
        <v>1.6434356018557974E-3</v>
      </c>
      <c r="AD248" s="25">
        <f t="shared" ref="AD248" si="648">LN(U248/C248)</f>
        <v>4.1858110711343972E-3</v>
      </c>
      <c r="AE248" s="25">
        <f t="shared" ref="AE248" si="649">LN(V248/C248)</f>
        <v>0</v>
      </c>
      <c r="AF248" s="25">
        <f t="shared" ref="AF248" si="650">LN(N248/C248)</f>
        <v>1.6434356018557974E-3</v>
      </c>
      <c r="AG248" s="25">
        <f t="shared" ref="AG248" si="651">LN(N248/N247)</f>
        <v>2.6328968785053744E-3</v>
      </c>
      <c r="AH248" s="25">
        <f t="shared" ref="AH248" si="652">LN(D248/C248)</f>
        <v>1.1242144322831907E-3</v>
      </c>
      <c r="AI248" s="25">
        <f t="shared" ref="AI248" si="653">LN(E248/C248)</f>
        <v>2.6114213813233874E-3</v>
      </c>
      <c r="AJ248" s="25">
        <f t="shared" ref="AJ248" si="654">LN(F248/C248)</f>
        <v>3.6964171777250335E-3</v>
      </c>
      <c r="AK248" s="25">
        <f t="shared" ref="AK248" si="655">+LN(G248/C248)</f>
        <v>2.0542204764912599E-3</v>
      </c>
      <c r="AL248" s="25">
        <f t="shared" ref="AL248" si="656">LN(H248/I248)</f>
        <v>4.1858110711343972E-3</v>
      </c>
      <c r="AM248" s="25">
        <f t="shared" ref="AM248" si="657">LN(O248/P248)</f>
        <v>2.6798210683708218E-3</v>
      </c>
      <c r="AN248" s="25">
        <f t="shared" ref="AN248" si="658">LN(L248/G248)</f>
        <v>0</v>
      </c>
      <c r="AO248" s="40">
        <f t="shared" ref="AO248" si="659">(C248-I248)/(H248-I248)</f>
        <v>0</v>
      </c>
      <c r="AP248" s="40">
        <f t="shared" ref="AP248" si="660">(N247-I248)/(H248-I248)</f>
        <v>-0.23577355108851483</v>
      </c>
      <c r="AQ248" s="25">
        <f t="shared" ref="AQ248" si="661">LN(M248/L248)</f>
        <v>-4.0764674427953899E-4</v>
      </c>
      <c r="AR248" s="25">
        <f t="shared" ref="AR248" si="662">LN(N248/L248)</f>
        <v>-4.107848746355256E-4</v>
      </c>
      <c r="AS248" s="25">
        <f t="shared" ref="AS248" si="663">LN(N248/C248)</f>
        <v>1.6434356018557974E-3</v>
      </c>
      <c r="AT248" s="28">
        <f t="shared" ref="AT248" si="664">+(G248-I248)/(H248-I248)</f>
        <v>0.49023500872977055</v>
      </c>
      <c r="AU248" s="28">
        <f t="shared" ref="AU248" si="665">+(N248-P248)/(O248-P248)</f>
        <v>0.37581009159917633</v>
      </c>
      <c r="AV248" s="40">
        <f t="shared" ref="AV248" si="666">+(N248-V248)/(U248-V248)</f>
        <v>0.39212156796093273</v>
      </c>
      <c r="AW248" s="25">
        <f t="shared" ref="AW248" si="667">LN(N248/C248)</f>
        <v>1.6434356018557974E-3</v>
      </c>
      <c r="AX248" s="28">
        <f t="shared" ref="AX248" si="668">(N248-L248)/(U248-V248)</f>
        <v>-9.8113440768837837E-2</v>
      </c>
      <c r="AY248" s="25">
        <f t="shared" ref="AY248" si="669">LN(G248/I248)</f>
        <v>2.0542204764912599E-3</v>
      </c>
      <c r="AZ248" s="25">
        <f t="shared" ref="AZ248" si="670">LN(N248/P248)</f>
        <v>1.0079462878094963E-3</v>
      </c>
      <c r="BA248" s="25">
        <f t="shared" ref="BA248" si="671">AV247</f>
        <v>0.80380406461699283</v>
      </c>
      <c r="BB248" s="25">
        <f t="shared" ref="BB248" si="672">AR247</f>
        <v>3.235975402506296E-3</v>
      </c>
      <c r="BC248" s="25">
        <f t="shared" ref="BC248" si="673">AS247</f>
        <v>9.3760005352604356E-3</v>
      </c>
      <c r="BD248" s="39">
        <f t="shared" ref="BD248" si="674">IF(AR247&lt;0,1,0)</f>
        <v>0</v>
      </c>
      <c r="BE248" t="str">
        <f t="shared" ref="BE248" si="675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676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677">IF(B248=3,IF(AV247&lt;0.85,IF(AND(K248&gt;942,AT248&gt;0.9),0.25,1)*IF(AR247&lt;-0.004,1,0.5),0),"")</f>
        <v/>
      </c>
      <c r="BH248" t="str">
        <f t="shared" ref="BH248" si="678">IF(B248=4,IF(AV247&lt;0.6,IF(AQ248&gt;=0,IF(K248&lt;1018,2,1),0),IF(AV247&gt;0.85,IF(AQ248&lt;=0,-0.5,0),0)),"")</f>
        <v/>
      </c>
      <c r="BI248" t="str">
        <f t="shared" ref="BI248" si="679">IF(B248=5,IF(AV247&lt;0.4,IF(AQ248&gt; -0.004,1,0),IF(AV247&lt;0.95,IF(AND(AO248&lt;0.85,AT248&lt;0.95,AQ248&gt;0,K248&lt;1115),0.5,0),0)),"")</f>
        <v/>
      </c>
      <c r="BJ248" s="25" t="str">
        <f t="shared" ref="BJ248" si="680">IF(MAX(BE248:BI248)=0,"",MAX(BE248:BI248)*AR248)</f>
        <v/>
      </c>
    </row>
    <row r="249" spans="1:62">
      <c r="A249" s="1">
        <v>42871</v>
      </c>
      <c r="B249" s="41">
        <f t="shared" si="24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52"/>
        <v>3130.21929</v>
      </c>
      <c r="T249" t="str">
        <f t="shared" ref="T249" si="681">IF(AVERAGE(N248)&lt;S248,"熊",IF(AVERAGE(N248)&gt;S248,"牛",""))</f>
        <v>熊</v>
      </c>
      <c r="U249">
        <f t="shared" ref="U249" si="682">MAX(H249,O249)</f>
        <v>3113.4983999999999</v>
      </c>
      <c r="V249">
        <f t="shared" ref="V249" si="683">MIN(I249,P249)</f>
        <v>3061.0273999999999</v>
      </c>
      <c r="W249" s="40">
        <f t="shared" ref="W249" si="684">LN(U249/V249)</f>
        <v>1.6996370192808672E-2</v>
      </c>
      <c r="X249">
        <f t="shared" ref="X249" si="685">IF(U249=H249,J249,Q249)</f>
        <v>1500</v>
      </c>
      <c r="Y249">
        <f t="shared" ref="Y249" si="686">IF(V249=I249,K249,R249)</f>
        <v>1044</v>
      </c>
      <c r="Z249" s="25">
        <f t="shared" ref="Z249" si="687">(U249-V249)/(C249)</f>
        <v>1.7020169863053335E-2</v>
      </c>
      <c r="AA249" s="25">
        <f t="shared" ref="AA249" si="688">LN(C249/N248)</f>
        <v>-2.6355891698606106E-3</v>
      </c>
      <c r="AB249" s="25">
        <f t="shared" ref="AB249" si="689">LN(N249/U249)</f>
        <v>-9.3142856617966613E-7</v>
      </c>
      <c r="AC249" s="25">
        <f t="shared" ref="AC249" si="690">LN(N249/V249)</f>
        <v>1.6995438764242372E-2</v>
      </c>
      <c r="AD249" s="25">
        <f t="shared" ref="AD249" si="691">LN(U249/C249)</f>
        <v>9.8854487108091266E-3</v>
      </c>
      <c r="AE249" s="25">
        <f t="shared" ref="AE249" si="692">LN(V249/C249)</f>
        <v>-7.1109214819994855E-3</v>
      </c>
      <c r="AF249" s="25">
        <f t="shared" ref="AF249" si="693">LN(N249/C249)</f>
        <v>9.8845172822429207E-3</v>
      </c>
      <c r="AG249" s="25">
        <f t="shared" ref="AG249" si="694">LN(N249/N248)</f>
        <v>7.2489281123824254E-3</v>
      </c>
      <c r="AH249" s="25">
        <f t="shared" ref="AH249" si="695">LN(D249/C249)</f>
        <v>-1.3465671450920793E-3</v>
      </c>
      <c r="AI249" s="25">
        <f t="shared" ref="AI249" si="696">LN(E249/C249)</f>
        <v>-2.6227799990570211E-3</v>
      </c>
      <c r="AJ249" s="25">
        <f t="shared" ref="AJ249" si="697">LN(F249/C249)</f>
        <v>-2.7045123223613716E-3</v>
      </c>
      <c r="AK249" s="25">
        <f t="shared" ref="AK249" si="698">+LN(G249/C249)</f>
        <v>-1.0152509017491973E-3</v>
      </c>
      <c r="AL249" s="25">
        <f t="shared" ref="AL249" si="699">LN(H249/I249)</f>
        <v>7.1109214819995402E-3</v>
      </c>
      <c r="AM249" s="25">
        <f t="shared" ref="AM249" si="700">LN(O249/P249)</f>
        <v>1.1976660050106154E-2</v>
      </c>
      <c r="AN249" s="25">
        <f t="shared" ref="AN249" si="701">LN(L249/G249)</f>
        <v>0</v>
      </c>
      <c r="AO249" s="40">
        <f t="shared" ref="AO249" si="702">(C249-I249)/(H249-I249)</f>
        <v>1</v>
      </c>
      <c r="AP249" s="40">
        <f t="shared" ref="AP249" si="703">(N248-I249)/(H249-I249)</f>
        <v>1.3724495635016773</v>
      </c>
      <c r="AQ249" s="25">
        <f t="shared" ref="AQ249" si="704">LN(M249/L249)</f>
        <v>-1.7200964147190396E-4</v>
      </c>
      <c r="AR249" s="25">
        <f t="shared" ref="AR249" si="705">LN(N249/L249)</f>
        <v>1.0899768183992182E-2</v>
      </c>
      <c r="AS249" s="25">
        <f t="shared" ref="AS249" si="706">LN(N249/C249)</f>
        <v>9.8845172822429207E-3</v>
      </c>
      <c r="AT249" s="28">
        <f t="shared" ref="AT249" si="707">+(G249-I249)/(H249-I249)</f>
        <v>0.85679101642074684</v>
      </c>
      <c r="AU249" s="28">
        <f t="shared" ref="AU249" si="708">+(N249-P249)/(O249-P249)</f>
        <v>0.99992176308242786</v>
      </c>
      <c r="AV249" s="40">
        <f t="shared" ref="AV249" si="709">+(N249-V249)/(U249-V249)</f>
        <v>0.99994473137542728</v>
      </c>
      <c r="AW249" s="25">
        <f t="shared" ref="AW249" si="710">LN(N249/C249)</f>
        <v>9.8845172822429207E-3</v>
      </c>
      <c r="AX249" s="28">
        <f t="shared" ref="AX249" si="711">(N249-L249)/(U249-V249)</f>
        <v>0.64325246326542573</v>
      </c>
      <c r="AY249" s="25">
        <f t="shared" ref="AY249" si="712">LN(G249/I249)</f>
        <v>6.0956705802501822E-3</v>
      </c>
      <c r="AZ249" s="25">
        <f t="shared" ref="AZ249" si="713">LN(N249/P249)</f>
        <v>1.1975728621540147E-2</v>
      </c>
      <c r="BA249" s="25">
        <f t="shared" ref="BA249" si="714">AV248</f>
        <v>0.39212156796093273</v>
      </c>
      <c r="BB249" s="25">
        <f t="shared" ref="BB249" si="715">AR248</f>
        <v>-4.107848746355256E-4</v>
      </c>
      <c r="BC249" s="25">
        <f t="shared" ref="BC249" si="716">AS248</f>
        <v>1.6434356018557974E-3</v>
      </c>
      <c r="BD249" s="39">
        <f t="shared" ref="BD249" si="717">IF(AR248&lt;0,1,0)</f>
        <v>1</v>
      </c>
      <c r="BE249">
        <f t="shared" ref="BE249" si="718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19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20">IF(B249=3,IF(AV248&lt;0.85,IF(AND(K249&gt;942,AT249&gt;0.9),0.25,1)*IF(AR248&lt;-0.004,1,0.5),0),"")</f>
        <v/>
      </c>
      <c r="BH249" t="str">
        <f t="shared" ref="BH249" si="721">IF(B249=4,IF(AV248&lt;0.6,IF(AQ249&gt;=0,IF(K249&lt;1018,2,1),0),IF(AV248&gt;0.85,IF(AQ249&lt;=0,-0.5,0),0)),"")</f>
        <v/>
      </c>
      <c r="BI249" t="str">
        <f t="shared" ref="BI249" si="722">IF(B249=5,IF(AV248&lt;0.4,IF(AQ249&gt; -0.004,1,0),IF(AV248&lt;0.95,IF(AND(AO249&lt;0.85,AT249&lt;0.95,AQ249&gt;0,K249&lt;1115),0.5,0),0)),"")</f>
        <v/>
      </c>
      <c r="BJ249" s="25">
        <f t="shared" ref="BJ249" si="723">IF(MAX(BE249:BI249)=0,"",MAX(BE249:BI249)*AR249)</f>
        <v>1.0899768183992182E-2</v>
      </c>
    </row>
    <row r="250" spans="1:62">
      <c r="A250" s="1">
        <v>42872</v>
      </c>
      <c r="B250" s="41">
        <f t="shared" si="24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52"/>
        <v>3124.8104099999996</v>
      </c>
      <c r="T250" t="str">
        <f t="shared" ref="T250" si="724">IF(AVERAGE(N249)&lt;S249,"熊",IF(AVERAGE(N249)&gt;S249,"牛",""))</f>
        <v>熊</v>
      </c>
      <c r="U250">
        <f t="shared" ref="U250" si="725">MAX(H250,O250)</f>
        <v>3119.5816</v>
      </c>
      <c r="V250">
        <f t="shared" ref="V250" si="726">MIN(I250,P250)</f>
        <v>3101.3002000000001</v>
      </c>
      <c r="W250" s="40">
        <f t="shared" ref="W250" si="727">LN(U250/V250)</f>
        <v>5.8774473505078572E-3</v>
      </c>
      <c r="X250">
        <f t="shared" ref="X250" si="728">IF(U250=H250,J250,Q250)</f>
        <v>1011</v>
      </c>
      <c r="Y250">
        <f t="shared" ref="Y250" si="729">IF(V250=I250,K250,R250)</f>
        <v>1422</v>
      </c>
      <c r="Z250" s="25">
        <f t="shared" ref="Z250" si="730">(U250-V250)/(C250)</f>
        <v>5.8824210808796212E-3</v>
      </c>
      <c r="AA250" s="25">
        <f t="shared" ref="AA250" si="731">LN(C250/N249)</f>
        <v>-1.8303260982068979E-3</v>
      </c>
      <c r="AB250" s="25">
        <f t="shared" ref="AB250" si="732">LN(N250/U250)</f>
        <v>-4.768044657504294E-3</v>
      </c>
      <c r="AC250" s="25">
        <f t="shared" ref="AC250" si="733">LN(N250/V250)</f>
        <v>1.1094026930037362E-3</v>
      </c>
      <c r="AD250" s="25">
        <f t="shared" ref="AD250" si="734">LN(U250/C250)</f>
        <v>3.783166352390495E-3</v>
      </c>
      <c r="AE250" s="25">
        <f t="shared" ref="AE250" si="735">LN(V250/C250)</f>
        <v>-2.0942809981174663E-3</v>
      </c>
      <c r="AF250" s="25">
        <f t="shared" ref="AF250" si="736">LN(N250/C250)</f>
        <v>-9.8487830511380338E-4</v>
      </c>
      <c r="AG250" s="25">
        <f t="shared" ref="AG250" si="737">LN(N250/N249)</f>
        <v>-2.8152044033207622E-3</v>
      </c>
      <c r="AH250" s="25">
        <f t="shared" ref="AH250" si="738">LN(D250/C250)</f>
        <v>-7.1535928029077891E-4</v>
      </c>
      <c r="AI250" s="25">
        <f t="shared" ref="AI250" si="739">LN(E250/C250)</f>
        <v>8.3393955954061839E-4</v>
      </c>
      <c r="AJ250" s="25">
        <f t="shared" ref="AJ250" si="740">LN(F250/C250)</f>
        <v>4.8649565388617268E-4</v>
      </c>
      <c r="AK250" s="25">
        <f t="shared" ref="AK250" si="741">+LN(G250/C250)</f>
        <v>6.1352524114510938E-4</v>
      </c>
      <c r="AL250" s="25">
        <f t="shared" ref="AL250" si="742">LN(H250/I250)</f>
        <v>4.7233398587749088E-3</v>
      </c>
      <c r="AM250" s="25">
        <f t="shared" ref="AM250" si="743">LN(O250/P250)</f>
        <v>3.2143812199520562E-3</v>
      </c>
      <c r="AN250" s="25">
        <f t="shared" ref="AN250" si="744">LN(L250/G250)</f>
        <v>0</v>
      </c>
      <c r="AO250" s="40">
        <f t="shared" ref="AO250" si="745">(C250-I250)/(H250-I250)</f>
        <v>0.19867211787676073</v>
      </c>
      <c r="AP250" s="40">
        <f t="shared" ref="AP250" si="746">(N249-I250)/(H250-I250)</f>
        <v>0.58598240828293824</v>
      </c>
      <c r="AQ250" s="25">
        <f t="shared" ref="AQ250" si="747">LN(M250/L250)</f>
        <v>3.4547100797740739E-4</v>
      </c>
      <c r="AR250" s="25">
        <f t="shared" ref="AR250" si="748">LN(N250/L250)</f>
        <v>-1.5984035462589428E-3</v>
      </c>
      <c r="AS250" s="25">
        <f t="shared" ref="AS250" si="749">LN(N250/C250)</f>
        <v>-9.8487830511380338E-4</v>
      </c>
      <c r="AT250" s="28">
        <f t="shared" ref="AT250" si="750">+(G250-I250)/(H250-I250)</f>
        <v>0.3284195345609906</v>
      </c>
      <c r="AU250" s="28">
        <f t="shared" ref="AU250" si="751">+(N250-P250)/(O250-P250)</f>
        <v>0.34477405656595522</v>
      </c>
      <c r="AV250" s="40">
        <f t="shared" ref="AV250" si="752">+(N250-V250)/(U250-V250)</f>
        <v>0.18830614723159511</v>
      </c>
      <c r="AW250" s="25">
        <f t="shared" ref="AW250" si="753">LN(N250/C250)</f>
        <v>-9.8487830511380338E-4</v>
      </c>
      <c r="AX250" s="28">
        <f t="shared" ref="AX250" si="754">(N250-L250)/(U250-V250)</f>
        <v>-0.27167503582877894</v>
      </c>
      <c r="AY250" s="25">
        <f t="shared" ref="AY250" si="755">LN(G250/I250)</f>
        <v>1.5536987475296316E-3</v>
      </c>
      <c r="AZ250" s="25">
        <f t="shared" ref="AZ250" si="756">LN(N250/P250)</f>
        <v>1.1094026930037362E-3</v>
      </c>
      <c r="BA250" s="25">
        <f t="shared" ref="BA250" si="757">AV249</f>
        <v>0.99994473137542728</v>
      </c>
      <c r="BB250" s="25">
        <f t="shared" ref="BB250" si="758">AR249</f>
        <v>1.0899768183992182E-2</v>
      </c>
      <c r="BC250" s="25">
        <f t="shared" ref="BC250" si="759">AS249</f>
        <v>9.8845172822429207E-3</v>
      </c>
      <c r="BD250" s="39">
        <f t="shared" ref="BD250" si="760">IF(AR249&lt;0,1,0)</f>
        <v>0</v>
      </c>
      <c r="BE250" t="str">
        <f t="shared" ref="BE250" si="761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762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763">IF(B250=3,IF(AV249&lt;0.85,IF(AND(K250&gt;942,AT250&gt;0.9),0.25,1)*IF(AR249&lt;-0.004,1,0.5),0),"")</f>
        <v>0</v>
      </c>
      <c r="BH250" t="str">
        <f t="shared" ref="BH250" si="764">IF(B250=4,IF(AV249&lt;0.6,IF(AQ250&gt;=0,IF(K250&lt;1018,2,1),0),IF(AV249&gt;0.85,IF(AQ250&lt;=0,-0.5,0),0)),"")</f>
        <v/>
      </c>
      <c r="BI250" t="str">
        <f t="shared" ref="BI250" si="765">IF(B250=5,IF(AV249&lt;0.4,IF(AQ250&gt; -0.004,1,0),IF(AV249&lt;0.95,IF(AND(AO250&lt;0.85,AT250&lt;0.95,AQ250&gt;0,K250&lt;1115),0.5,0),0)),"")</f>
        <v/>
      </c>
      <c r="BJ250" s="25" t="str">
        <f t="shared" ref="BJ250" si="766">IF(MAX(BE250:BI250)=0,"",MAX(BE250:BI250)*AR250)</f>
        <v/>
      </c>
    </row>
    <row r="251" spans="1:62">
      <c r="A251" s="1">
        <v>42873</v>
      </c>
      <c r="B251" s="41">
        <f t="shared" si="24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52"/>
        <v>3120.2175349999993</v>
      </c>
      <c r="T251" t="str">
        <f t="shared" ref="T251" si="767">IF(AVERAGE(N250)&lt;S250,"熊",IF(AVERAGE(N250)&gt;S250,"牛",""))</f>
        <v>熊</v>
      </c>
      <c r="U251">
        <f t="shared" ref="U251" si="768">MAX(H251,O251)</f>
        <v>3103.4413</v>
      </c>
      <c r="V251">
        <f t="shared" ref="V251" si="769">MIN(I251,P251)</f>
        <v>3078.1496999999999</v>
      </c>
      <c r="W251" s="40">
        <f t="shared" ref="W251" si="770">LN(U251/V251)</f>
        <v>8.1829228518831287E-3</v>
      </c>
      <c r="X251">
        <f t="shared" ref="X251" si="771">IF(U251=H251,J251,Q251)</f>
        <v>1103</v>
      </c>
      <c r="Y251">
        <f t="shared" ref="Y251" si="772">IF(V251=I251,K251,R251)</f>
        <v>930</v>
      </c>
      <c r="Z251" s="25">
        <f t="shared" ref="Z251" si="773">(U251-V251)/(C251)</f>
        <v>8.2053543411721736E-3</v>
      </c>
      <c r="AA251" s="25">
        <f t="shared" ref="AA251" si="774">LN(C251/N250)</f>
        <v>-7.2454304281904351E-3</v>
      </c>
      <c r="AB251" s="25">
        <f t="shared" ref="AB251" si="775">LN(N251/U251)</f>
        <v>-4.2118691506490289E-3</v>
      </c>
      <c r="AC251" s="25">
        <f t="shared" ref="AC251" si="776">LN(N251/V251)</f>
        <v>3.9710537012341545E-3</v>
      </c>
      <c r="AD251" s="25">
        <f t="shared" ref="AD251" si="777">LN(U251/C251)</f>
        <v>6.8261773844460394E-3</v>
      </c>
      <c r="AE251" s="25">
        <f t="shared" ref="AE251" si="778">LN(V251/C251)</f>
        <v>-1.3567454674370517E-3</v>
      </c>
      <c r="AF251" s="25">
        <f t="shared" ref="AF251" si="779">LN(N251/C251)</f>
        <v>2.6143082337970903E-3</v>
      </c>
      <c r="AG251" s="25">
        <f t="shared" ref="AG251" si="780">LN(N251/N250)</f>
        <v>-4.6311221943933683E-3</v>
      </c>
      <c r="AH251" s="25">
        <f t="shared" ref="AH251" si="781">LN(D251/C251)</f>
        <v>3.2972875073287533E-4</v>
      </c>
      <c r="AI251" s="25">
        <f t="shared" ref="AI251" si="782">LN(E251/C251)</f>
        <v>1.8732228474602954E-3</v>
      </c>
      <c r="AJ251" s="25">
        <f t="shared" ref="AJ251" si="783">LN(F251/C251)</f>
        <v>3.8356055891130515E-3</v>
      </c>
      <c r="AK251" s="25">
        <f t="shared" ref="AK251" si="784">+LN(G251/C251)</f>
        <v>5.2651427641968139E-3</v>
      </c>
      <c r="AL251" s="25">
        <f t="shared" ref="AL251" si="785">LN(H251/I251)</f>
        <v>8.1829228518831287E-3</v>
      </c>
      <c r="AM251" s="25">
        <f t="shared" ref="AM251" si="786">LN(O251/P251)</f>
        <v>5.7954607632465863E-3</v>
      </c>
      <c r="AN251" s="25">
        <f t="shared" ref="AN251" si="787">LN(L251/G251)</f>
        <v>0</v>
      </c>
      <c r="AO251" s="40">
        <f t="shared" ref="AO251" si="788">(C251-I251)/(H251-I251)</f>
        <v>0.16523667937180059</v>
      </c>
      <c r="AP251" s="40">
        <f t="shared" ref="AP251" si="789">(N250-I251)/(H251-I251)</f>
        <v>1.0514558193234049</v>
      </c>
      <c r="AQ251" s="25">
        <f t="shared" ref="AQ251" si="790">LN(M251/L251)</f>
        <v>-1.7464409182894145E-3</v>
      </c>
      <c r="AR251" s="25">
        <f t="shared" ref="AR251" si="791">LN(N251/L251)</f>
        <v>-2.6508345303997358E-3</v>
      </c>
      <c r="AS251" s="25">
        <f t="shared" ref="AS251" si="792">LN(N251/C251)</f>
        <v>2.6143082337970903E-3</v>
      </c>
      <c r="AT251" s="28">
        <f t="shared" ref="AT251" si="793">+(G251-I251)/(H251-I251)</f>
        <v>0.8086004839551495</v>
      </c>
      <c r="AU251" s="28">
        <f t="shared" ref="AU251" si="794">+(N251-P251)/(O251-P251)</f>
        <v>0.49737304932859905</v>
      </c>
      <c r="AV251" s="40">
        <f t="shared" ref="AV251" si="795">+(N251-V251)/(U251-V251)</f>
        <v>0.48426354995334775</v>
      </c>
      <c r="AW251" s="25">
        <f t="shared" ref="AW251" si="796">LN(N251/C251)</f>
        <v>2.6143082337970903E-3</v>
      </c>
      <c r="AX251" s="28">
        <f t="shared" ref="AX251" si="797">(N251-L251)/(U251-V251)</f>
        <v>-0.32433693400180175</v>
      </c>
      <c r="AY251" s="25">
        <f t="shared" ref="AY251" si="798">LN(G251/I251)</f>
        <v>6.621888231633748E-3</v>
      </c>
      <c r="AZ251" s="25">
        <f t="shared" ref="AZ251" si="799">LN(N251/P251)</f>
        <v>2.8867043336074818E-3</v>
      </c>
      <c r="BA251" s="25">
        <f t="shared" ref="BA251" si="800">AV250</f>
        <v>0.18830614723159511</v>
      </c>
      <c r="BB251" s="25">
        <f t="shared" ref="BB251" si="801">AR250</f>
        <v>-1.5984035462589428E-3</v>
      </c>
      <c r="BC251" s="25">
        <f t="shared" ref="BC251" si="802">AS250</f>
        <v>-9.8487830511380338E-4</v>
      </c>
      <c r="BD251" s="39">
        <f t="shared" ref="BD251" si="803">IF(AR250&lt;0,1,0)</f>
        <v>1</v>
      </c>
      <c r="BE251" t="str">
        <f t="shared" ref="BE251" si="804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05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06">IF(B251=3,IF(AV250&lt;0.85,IF(AND(K251&gt;942,AT251&gt;0.9),0.25,1)*IF(AR250&lt;-0.004,1,0.5),0),"")</f>
        <v/>
      </c>
      <c r="BH251">
        <f t="shared" ref="BH251" si="807">IF(B251=4,IF(AV250&lt;0.6,IF(AQ251&gt;=0,IF(K251&lt;1018,2,1),0),IF(AV250&gt;0.85,IF(AQ251&lt;=0,-0.5,0),0)),"")</f>
        <v>0</v>
      </c>
      <c r="BI251" t="str">
        <f t="shared" ref="BI251" si="808">IF(B251=5,IF(AV250&lt;0.4,IF(AQ251&gt; -0.004,1,0),IF(AV250&lt;0.95,IF(AND(AO251&lt;0.85,AT251&lt;0.95,AQ251&gt;0,K251&lt;1115),0.5,0),0)),"")</f>
        <v/>
      </c>
      <c r="BJ251" s="25" t="str">
        <f t="shared" ref="BJ251" si="809">IF(MAX(BE251:BI251)=0,"",MAX(BE251:BI251)*AR251)</f>
        <v/>
      </c>
    </row>
    <row r="252" spans="1:62">
      <c r="A252" s="1">
        <v>42874</v>
      </c>
      <c r="B252" s="41">
        <f t="shared" si="24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52"/>
        <v>3116.1720149999992</v>
      </c>
      <c r="T252" t="str">
        <f t="shared" ref="T252" si="810">IF(AVERAGE(N251)&lt;S251,"熊",IF(AVERAGE(N251)&gt;S251,"牛",""))</f>
        <v>熊</v>
      </c>
      <c r="U252">
        <f t="shared" ref="U252" si="811">MAX(H252,O252)</f>
        <v>3095.4825999999998</v>
      </c>
      <c r="V252">
        <f t="shared" ref="V252" si="812">MIN(I252,P252)</f>
        <v>3081.2779999999998</v>
      </c>
      <c r="W252" s="40">
        <f t="shared" ref="W252" si="813">LN(U252/V252)</f>
        <v>4.5993769098484297E-3</v>
      </c>
      <c r="X252">
        <f t="shared" ref="X252" si="814">IF(U252=H252,J252,Q252)</f>
        <v>939</v>
      </c>
      <c r="Y252">
        <f t="shared" ref="Y252" si="815">IF(V252=I252,K252,R252)</f>
        <v>1348</v>
      </c>
      <c r="Z252" s="25">
        <f t="shared" ref="Z252" si="816">(U252-V252)/(C252)</f>
        <v>4.6018644992813469E-3</v>
      </c>
      <c r="AA252" s="25">
        <f t="shared" ref="AA252" si="817">LN(C252/N251)</f>
        <v>-1.1954149054803197E-3</v>
      </c>
      <c r="AB252" s="25">
        <f t="shared" ref="AB252" si="818">LN(N252/U252)</f>
        <v>-1.4722593359406634E-3</v>
      </c>
      <c r="AC252" s="25">
        <f t="shared" ref="AC252" si="819">LN(N252/V252)</f>
        <v>3.1271175739077321E-3</v>
      </c>
      <c r="AD252" s="25">
        <f t="shared" ref="AD252" si="820">LN(U252/C252)</f>
        <v>2.8395143911607943E-3</v>
      </c>
      <c r="AE252" s="25">
        <f t="shared" ref="AE252" si="821">LN(V252/C252)</f>
        <v>-1.7598625186877452E-3</v>
      </c>
      <c r="AF252" s="25">
        <f t="shared" ref="AF252" si="822">LN(N252/C252)</f>
        <v>1.3672550552201541E-3</v>
      </c>
      <c r="AG252" s="25">
        <f t="shared" ref="AG252" si="823">LN(N252/N251)</f>
        <v>1.7184014973968393E-4</v>
      </c>
      <c r="AH252" s="25">
        <f t="shared" ref="AH252" si="824">LN(D252/C252)</f>
        <v>1.2286786814998355E-3</v>
      </c>
      <c r="AI252" s="25">
        <f t="shared" ref="AI252" si="825">LN(E252/C252)</f>
        <v>2.3362352056985327E-3</v>
      </c>
      <c r="AJ252" s="25">
        <f t="shared" ref="AJ252" si="826">LN(F252/C252)</f>
        <v>1.9856481417312648E-3</v>
      </c>
      <c r="AK252" s="25">
        <f t="shared" ref="AK252" si="827">+LN(G252/C252)</f>
        <v>5.6902099918855953E-4</v>
      </c>
      <c r="AL252" s="25">
        <f t="shared" ref="AL252" si="828">LN(H252/I252)</f>
        <v>3.1121399221790175E-3</v>
      </c>
      <c r="AM252" s="25">
        <f t="shared" ref="AM252" si="829">LN(O252/P252)</f>
        <v>4.1651015389672641E-3</v>
      </c>
      <c r="AN252" s="25">
        <f t="shared" ref="AN252" si="830">LN(L252/G252)</f>
        <v>0</v>
      </c>
      <c r="AO252" s="40">
        <f t="shared" ref="AO252" si="831">(C252-I252)/(H252-I252)</f>
        <v>8.7476347909239666E-2</v>
      </c>
      <c r="AP252" s="40">
        <f t="shared" ref="AP252" si="832">(N251-I252)/(H252-I252)</f>
        <v>0.47132638845571118</v>
      </c>
      <c r="AQ252" s="25">
        <f t="shared" ref="AQ252" si="833">LN(M252/L252)</f>
        <v>-5.8146152521286422E-4</v>
      </c>
      <c r="AR252" s="25">
        <f t="shared" ref="AR252" si="834">LN(N252/L252)</f>
        <v>7.9823405603164708E-4</v>
      </c>
      <c r="AS252" s="25">
        <f t="shared" ref="AS252" si="835">LN(N252/C252)</f>
        <v>1.3672550552201541E-3</v>
      </c>
      <c r="AT252" s="28">
        <f t="shared" ref="AT252" si="836">+(G252-I252)/(H252-I252)</f>
        <v>0.27013286756910215</v>
      </c>
      <c r="AU252" s="28">
        <f t="shared" ref="AU252" si="837">+(N252-P252)/(O252-P252)</f>
        <v>0.75040044787957572</v>
      </c>
      <c r="AV252" s="40">
        <f t="shared" ref="AV252" si="838">+(N252-V252)/(U252-V252)</f>
        <v>0.67939963110544299</v>
      </c>
      <c r="AW252" s="25">
        <f t="shared" ref="AW252" si="839">LN(N252/C252)</f>
        <v>1.3672550552201541E-3</v>
      </c>
      <c r="AX252" s="28">
        <f t="shared" ref="AX252" si="840">(N252-L252)/(U252-V252)</f>
        <v>0.17362685327288638</v>
      </c>
      <c r="AY252" s="25">
        <f t="shared" ref="AY252" si="841">LN(G252/I252)</f>
        <v>8.4164653020677577E-4</v>
      </c>
      <c r="AZ252" s="25">
        <f t="shared" ref="AZ252" si="842">LN(N252/P252)</f>
        <v>3.1271175739077321E-3</v>
      </c>
      <c r="BA252" s="25">
        <f t="shared" ref="BA252" si="843">AV251</f>
        <v>0.48426354995334775</v>
      </c>
      <c r="BB252" s="25">
        <f t="shared" ref="BB252" si="844">AR251</f>
        <v>-2.6508345303997358E-3</v>
      </c>
      <c r="BC252" s="25">
        <f t="shared" ref="BC252" si="845">AS251</f>
        <v>2.6143082337970903E-3</v>
      </c>
      <c r="BD252" s="39">
        <f t="shared" ref="BD252" si="846">IF(AR251&lt;0,1,0)</f>
        <v>1</v>
      </c>
      <c r="BE252" t="str">
        <f t="shared" ref="BE252" si="847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48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49">IF(B252=3,IF(AV251&lt;0.85,IF(AND(K252&gt;942,AT252&gt;0.9),0.25,1)*IF(AR251&lt;-0.004,1,0.5),0),"")</f>
        <v/>
      </c>
      <c r="BH252" t="str">
        <f t="shared" ref="BH252" si="850">IF(B252=4,IF(AV251&lt;0.6,IF(AQ252&gt;=0,IF(K252&lt;1018,2,1),0),IF(AV251&gt;0.85,IF(AQ252&lt;=0,-0.5,0),0)),"")</f>
        <v/>
      </c>
      <c r="BI252">
        <f t="shared" ref="BI252" si="851">IF(B252=5,IF(AV251&lt;0.4,IF(AQ252&gt; -0.004,1,0),IF(AV251&lt;0.95,IF(AND(AO252&lt;0.85,AT252&lt;0.95,AQ252&gt;0,K252&lt;1115),0.5,0),0)),"")</f>
        <v>0</v>
      </c>
      <c r="BJ252" s="25" t="str">
        <f t="shared" ref="BJ252" si="852">IF(MAX(BE252:BI252)=0,"",MAX(BE252:BI252)*AR252)</f>
        <v/>
      </c>
    </row>
    <row r="253" spans="1:62">
      <c r="A253" s="1">
        <v>42877</v>
      </c>
      <c r="B253" s="41">
        <f t="shared" si="24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52"/>
        <v>3112.088929999999</v>
      </c>
      <c r="T253" t="str">
        <f t="shared" ref="T253" si="853">IF(AVERAGE(N252)&lt;S252,"熊",IF(AVERAGE(N252)&gt;S252,"牛",""))</f>
        <v>熊</v>
      </c>
      <c r="U253">
        <f t="shared" ref="U253" si="854">MAX(H253,O253)</f>
        <v>3103.8335000000002</v>
      </c>
      <c r="V253">
        <f t="shared" ref="V253" si="855">MIN(I253,P253)</f>
        <v>3063.2682</v>
      </c>
      <c r="W253" s="40">
        <f t="shared" ref="W253" si="856">LN(U253/V253)</f>
        <v>1.3155575186479368E-2</v>
      </c>
      <c r="X253">
        <f t="shared" ref="X253" si="857">IF(U253=H253,J253,Q253)</f>
        <v>1014</v>
      </c>
      <c r="Y253">
        <f t="shared" ref="Y253" si="858">IF(V253=I253,K253,R253)</f>
        <v>1446</v>
      </c>
      <c r="Z253" s="25">
        <f t="shared" ref="Z253" si="859">(U253-V253)/(C253)</f>
        <v>1.3139961009604169E-2</v>
      </c>
      <c r="AA253" s="25">
        <f t="shared" ref="AA253" si="860">LN(C253/N252)</f>
        <v>-1.2165879513087918E-3</v>
      </c>
      <c r="AB253" s="25">
        <f t="shared" ref="AB253" si="861">LN(N253/U253)</f>
        <v>-9.0329415980276665E-3</v>
      </c>
      <c r="AC253" s="25">
        <f t="shared" ref="AC253" si="862">LN(N253/V253)</f>
        <v>4.1226335884517393E-3</v>
      </c>
      <c r="AD253" s="25">
        <f t="shared" ref="AD253" si="863">LN(U253/C253)</f>
        <v>5.3829848070848672E-3</v>
      </c>
      <c r="AE253" s="25">
        <f t="shared" ref="AE253" si="864">LN(V253/C253)</f>
        <v>-7.7725903793944111E-3</v>
      </c>
      <c r="AF253" s="25">
        <f t="shared" ref="AF253" si="865">LN(N253/C253)</f>
        <v>-3.6499567909427594E-3</v>
      </c>
      <c r="AG253" s="25">
        <f t="shared" ref="AG253" si="866">LN(N253/N252)</f>
        <v>-4.866544742251626E-3</v>
      </c>
      <c r="AH253" s="25">
        <f t="shared" ref="AH253" si="867">LN(D253/C253)</f>
        <v>-9.9016652222909374E-4</v>
      </c>
      <c r="AI253" s="25">
        <f t="shared" ref="AI253" si="868">LN(E253/C253)</f>
        <v>-1.4437868225802774E-3</v>
      </c>
      <c r="AJ253" s="25">
        <f t="shared" ref="AJ253" si="869">LN(F253/C253)</f>
        <v>-1.4076180786802837E-3</v>
      </c>
      <c r="AK253" s="25">
        <f t="shared" ref="AK253" si="870">+LN(G253/C253)</f>
        <v>-1.316991115513933E-3</v>
      </c>
      <c r="AL253" s="25">
        <f t="shared" ref="AL253" si="871">LN(H253/I253)</f>
        <v>8.3210186001946712E-3</v>
      </c>
      <c r="AM253" s="25">
        <f t="shared" ref="AM253" si="872">LN(O253/P253)</f>
        <v>7.2116931014424984E-3</v>
      </c>
      <c r="AN253" s="25">
        <f t="shared" ref="AN253" si="873">LN(L253/G253)</f>
        <v>0</v>
      </c>
      <c r="AO253" s="40">
        <f t="shared" ref="AO253" si="874">(C253-I253)/(H253-I253)</f>
        <v>0.35213589477408636</v>
      </c>
      <c r="AP253" s="40">
        <f t="shared" ref="AP253" si="875">(N252-I253)/(H253-I253)</f>
        <v>0.49825232601993119</v>
      </c>
      <c r="AQ253" s="25">
        <f t="shared" ref="AQ253" si="876">LN(M253/L253)</f>
        <v>4.5742078453578149E-4</v>
      </c>
      <c r="AR253" s="25">
        <f t="shared" ref="AR253" si="877">LN(N253/L253)</f>
        <v>-2.3329656754288901E-3</v>
      </c>
      <c r="AS253" s="25">
        <f t="shared" ref="AS253" si="878">LN(N253/C253)</f>
        <v>-3.6499567909427594E-3</v>
      </c>
      <c r="AT253" s="28">
        <f t="shared" ref="AT253" si="879">+(G253-I253)/(H253-I253)</f>
        <v>0.19416094152775584</v>
      </c>
      <c r="AU253" s="28">
        <f t="shared" ref="AU253" si="880">+(N253-P253)/(O253-P253)</f>
        <v>0.57077650285052983</v>
      </c>
      <c r="AV253" s="40">
        <f t="shared" ref="AV253" si="881">+(N253-V253)/(U253-V253)</f>
        <v>0.31196120822475693</v>
      </c>
      <c r="AW253" s="25">
        <f t="shared" ref="AW253" si="882">LN(N253/C253)</f>
        <v>-3.6499567909427594E-3</v>
      </c>
      <c r="AX253" s="28">
        <f t="shared" ref="AX253" si="883">(N253-L253)/(U253-V253)</f>
        <v>-0.1771070348302628</v>
      </c>
      <c r="AY253" s="25">
        <f t="shared" ref="AY253" si="884">LN(G253/I253)</f>
        <v>1.6210426775958371E-3</v>
      </c>
      <c r="AZ253" s="25">
        <f t="shared" ref="AZ253" si="885">LN(N253/P253)</f>
        <v>4.1226335884517393E-3</v>
      </c>
      <c r="BA253" s="25">
        <f t="shared" ref="BA253" si="886">AV252</f>
        <v>0.67939963110544299</v>
      </c>
      <c r="BB253" s="25">
        <f t="shared" ref="BB253" si="887">AR252</f>
        <v>7.9823405603164708E-4</v>
      </c>
      <c r="BC253" s="25">
        <f t="shared" ref="BC253" si="888">AS252</f>
        <v>1.3672550552201541E-3</v>
      </c>
      <c r="BD253" s="39">
        <f t="shared" ref="BD253" si="889">IF(AR252&lt;0,1,0)</f>
        <v>0</v>
      </c>
      <c r="BE253" t="str">
        <f t="shared" ref="BE253" si="890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891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892">IF(B253=3,IF(AV252&lt;0.85,IF(AND(K253&gt;942,AT253&gt;0.9),0.25,1)*IF(AR252&lt;-0.004,1,0.5),0),"")</f>
        <v/>
      </c>
      <c r="BH253" t="str">
        <f t="shared" ref="BH253" si="893">IF(B253=4,IF(AV252&lt;0.6,IF(AQ253&gt;=0,IF(K253&lt;1018,2,1),0),IF(AV252&gt;0.85,IF(AQ253&lt;=0,-0.5,0),0)),"")</f>
        <v/>
      </c>
      <c r="BI253" t="str">
        <f t="shared" ref="BI253" si="894">IF(B253=5,IF(AV252&lt;0.4,IF(AQ253&gt; -0.004,1,0),IF(AV252&lt;0.95,IF(AND(AO253&lt;0.85,AT253&lt;0.95,AQ253&gt;0,K253&lt;1115),0.5,0),0)),"")</f>
        <v/>
      </c>
      <c r="BJ253" s="25" t="str">
        <f t="shared" ref="BJ253" si="895">IF(MAX(BE253:BI253)=0,"",MAX(BE253:BI253)*AR253)</f>
        <v/>
      </c>
    </row>
    <row r="254" spans="1:62">
      <c r="A254" s="1">
        <v>42878</v>
      </c>
      <c r="B254" s="41">
        <f t="shared" si="24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52"/>
        <v>3107.2240549999997</v>
      </c>
      <c r="T254" t="str">
        <f t="shared" ref="T254" si="896">IF(AVERAGE(N253)&lt;S253,"熊",IF(AVERAGE(N253)&gt;S253,"牛",""))</f>
        <v>熊</v>
      </c>
      <c r="U254">
        <f t="shared" ref="U254" si="897">MAX(H254,O254)</f>
        <v>3084.1983</v>
      </c>
      <c r="V254">
        <f t="shared" ref="V254" si="898">MIN(I254,P254)</f>
        <v>3051.0318000000002</v>
      </c>
      <c r="W254" s="40">
        <f t="shared" ref="W254" si="899">LN(U254/V254)</f>
        <v>1.0811924752438409E-2</v>
      </c>
      <c r="X254">
        <f t="shared" ref="X254" si="900">IF(U254=H254,J254,Q254)</f>
        <v>1104</v>
      </c>
      <c r="Y254">
        <f t="shared" ref="Y254" si="901">IF(V254=I254,K254,R254)</f>
        <v>1323</v>
      </c>
      <c r="Z254" s="25">
        <f t="shared" ref="Z254" si="902">(U254-V254)/(C254)</f>
        <v>1.0805554908485931E-2</v>
      </c>
      <c r="AA254" s="25">
        <f t="shared" ref="AA254" si="903">LN(C254/N253)</f>
        <v>-2.1250337414327977E-3</v>
      </c>
      <c r="AB254" s="25">
        <f t="shared" ref="AB254" si="904">LN(N254/U254)</f>
        <v>-7.3135319145322042E-3</v>
      </c>
      <c r="AC254" s="25">
        <f t="shared" ref="AC254" si="905">LN(N254/V254)</f>
        <v>3.498392837906223E-3</v>
      </c>
      <c r="AD254" s="25">
        <f t="shared" ref="AD254" si="906">LN(U254/C254)</f>
        <v>4.8117681659534447E-3</v>
      </c>
      <c r="AE254" s="25">
        <f t="shared" ref="AE254" si="907">LN(V254/C254)</f>
        <v>-6.0001565864850094E-3</v>
      </c>
      <c r="AF254" s="25">
        <f t="shared" ref="AF254" si="908">LN(N254/C254)</f>
        <v>-2.501763748578815E-3</v>
      </c>
      <c r="AG254" s="25">
        <f t="shared" ref="AG254" si="909">LN(N254/N253)</f>
        <v>-4.6267974900116348E-3</v>
      </c>
      <c r="AH254" s="25">
        <f t="shared" ref="AH254" si="910">LN(D254/C254)</f>
        <v>-5.7014481250669904E-4</v>
      </c>
      <c r="AI254" s="25">
        <f t="shared" ref="AI254" si="911">LN(E254/C254)</f>
        <v>3.7124222121054574E-4</v>
      </c>
      <c r="AJ254" s="25">
        <f t="shared" ref="AJ254" si="912">LN(F254/C254)</f>
        <v>-1.075122268235933E-3</v>
      </c>
      <c r="AK254" s="25">
        <f t="shared" ref="AK254" si="913">+LN(G254/C254)</f>
        <v>1.06579885463299E-3</v>
      </c>
      <c r="AL254" s="25">
        <f t="shared" ref="AL254" si="914">LN(H254/I254)</f>
        <v>8.0679993417093684E-3</v>
      </c>
      <c r="AM254" s="25">
        <f t="shared" ref="AM254" si="915">LN(O254/P254)</f>
        <v>7.065955441117963E-3</v>
      </c>
      <c r="AN254" s="25">
        <f t="shared" ref="AN254" si="916">LN(L254/G254)</f>
        <v>0</v>
      </c>
      <c r="AO254" s="40">
        <f t="shared" ref="AO254" si="917">(C254-I254)/(H254-I254)</f>
        <v>0.40262758642951779</v>
      </c>
      <c r="AP254" s="40">
        <f t="shared" ref="AP254" si="918">(N253-I254)/(H254-I254)</f>
        <v>0.6660923528842001</v>
      </c>
      <c r="AQ254" s="25">
        <f t="shared" ref="AQ254" si="919">LN(M254/L254)</f>
        <v>-2.386116424012894E-3</v>
      </c>
      <c r="AR254" s="25">
        <f t="shared" ref="AR254" si="920">LN(N254/L254)</f>
        <v>-3.5675626032117178E-3</v>
      </c>
      <c r="AS254" s="25">
        <f t="shared" ref="AS254" si="921">LN(N254/C254)</f>
        <v>-2.501763748578815E-3</v>
      </c>
      <c r="AT254" s="28">
        <f t="shared" ref="AT254" si="922">+(G254-I254)/(H254-I254)</f>
        <v>0.53469689144258736</v>
      </c>
      <c r="AU254" s="28">
        <f t="shared" ref="AU254" si="923">+(N254-P254)/(O254-P254)</f>
        <v>0.49422227152550513</v>
      </c>
      <c r="AV254" s="40">
        <f t="shared" ref="AV254" si="924">+(N254-V254)/(U254-V254)</f>
        <v>0.32238553962582628</v>
      </c>
      <c r="AW254" s="25">
        <f t="shared" ref="AW254" si="925">LN(N254/C254)</f>
        <v>-2.501763748578815E-3</v>
      </c>
      <c r="AX254" s="28">
        <f t="shared" ref="AX254" si="926">(N254-L254)/(U254-V254)</f>
        <v>-0.32992326594605909</v>
      </c>
      <c r="AY254" s="25">
        <f t="shared" ref="AY254" si="927">LN(G254/I254)</f>
        <v>4.3220300303891228E-3</v>
      </c>
      <c r="AZ254" s="25">
        <f t="shared" ref="AZ254" si="928">LN(N254/P254)</f>
        <v>3.498392837906223E-3</v>
      </c>
      <c r="BA254" s="25">
        <f t="shared" ref="BA254" si="929">AV253</f>
        <v>0.31196120822475693</v>
      </c>
      <c r="BB254" s="25">
        <f t="shared" ref="BB254" si="930">AR253</f>
        <v>-2.3329656754288901E-3</v>
      </c>
      <c r="BC254" s="25">
        <f t="shared" ref="BC254" si="931">AS253</f>
        <v>-3.6499567909427594E-3</v>
      </c>
      <c r="BD254" s="39">
        <f t="shared" ref="BD254" si="932">IF(AR253&lt;0,1,0)</f>
        <v>1</v>
      </c>
      <c r="BE254">
        <f t="shared" ref="BE254" si="933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34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35">IF(B254=3,IF(AV253&lt;0.85,IF(AND(K254&gt;942,AT254&gt;0.9),0.25,1)*IF(AR253&lt;-0.004,1,0.5),0),"")</f>
        <v/>
      </c>
      <c r="BH254" t="str">
        <f t="shared" ref="BH254" si="936">IF(B254=4,IF(AV253&lt;0.6,IF(AQ254&gt;=0,IF(K254&lt;1018,2,1),0),IF(AV253&gt;0.85,IF(AQ254&lt;=0,-0.5,0),0)),"")</f>
        <v/>
      </c>
      <c r="BI254" t="str">
        <f t="shared" ref="BI254" si="937">IF(B254=5,IF(AV253&lt;0.4,IF(AQ254&gt; -0.004,1,0),IF(AV253&lt;0.95,IF(AND(AO254&lt;0.85,AT254&lt;0.95,AQ254&gt;0,K254&lt;1115),0.5,0),0)),"")</f>
        <v/>
      </c>
      <c r="BJ254" s="25">
        <f t="shared" ref="BJ254" si="938">IF(MAX(BE254:BI254)=0,"",MAX(BE254:BI254)*AR254)</f>
        <v>-3.5675626032117178E-3</v>
      </c>
    </row>
    <row r="255" spans="1:62">
      <c r="A255" s="1">
        <v>42879</v>
      </c>
      <c r="B255" s="41">
        <f t="shared" si="24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52"/>
        <v>3103.8214549999993</v>
      </c>
      <c r="T255" t="str">
        <f t="shared" ref="T255" si="939">IF(AVERAGE(N254)&lt;S254,"熊",IF(AVERAGE(N254)&gt;S254,"牛",""))</f>
        <v>熊</v>
      </c>
      <c r="U255">
        <f t="shared" ref="U255" si="940">MAX(H255,O255)</f>
        <v>3064.8126999999999</v>
      </c>
      <c r="V255">
        <f t="shared" ref="V255" si="941">MIN(I255,P255)</f>
        <v>3022.6682999999998</v>
      </c>
      <c r="W255" s="40">
        <f t="shared" ref="W255" si="942">LN(U255/V255)</f>
        <v>1.3846473883655213E-2</v>
      </c>
      <c r="X255">
        <f t="shared" ref="X255" si="943">IF(U255=H255,J255,Q255)</f>
        <v>1459</v>
      </c>
      <c r="Y255">
        <f t="shared" ref="Y255" si="944">IF(V255=I255,K255,R255)</f>
        <v>946</v>
      </c>
      <c r="Z255" s="25">
        <f t="shared" ref="Z255" si="945">(U255-V255)/(C255)</f>
        <v>1.3828862429686192E-2</v>
      </c>
      <c r="AA255" s="25">
        <f t="shared" ref="AA255" si="946">LN(C255/N254)</f>
        <v>-4.6342930212993731E-3</v>
      </c>
      <c r="AB255" s="25">
        <f t="shared" ref="AB255" si="947">LN(N255/U255)</f>
        <v>-3.3361599464051827E-4</v>
      </c>
      <c r="AC255" s="25">
        <f t="shared" ref="AC255" si="948">LN(N255/V255)</f>
        <v>1.3512857889014769E-2</v>
      </c>
      <c r="AD255" s="25">
        <f t="shared" ref="AD255" si="949">LN(U255/C255)</f>
        <v>5.642529913378499E-3</v>
      </c>
      <c r="AE255" s="25">
        <f t="shared" ref="AE255" si="950">LN(V255/C255)</f>
        <v>-8.2039439702767947E-3</v>
      </c>
      <c r="AF255" s="25">
        <f t="shared" ref="AF255" si="951">LN(N255/C255)</f>
        <v>5.3089139187378993E-3</v>
      </c>
      <c r="AG255" s="25">
        <f t="shared" ref="AG255" si="952">LN(N255/N254)</f>
        <v>6.7462089743855187E-4</v>
      </c>
      <c r="AH255" s="25">
        <f t="shared" ref="AH255" si="953">LN(D255/C255)</f>
        <v>-1.3290565703711957E-3</v>
      </c>
      <c r="AI255" s="25">
        <f t="shared" ref="AI255" si="954">LN(E255/C255)</f>
        <v>7.0801894819660721E-4</v>
      </c>
      <c r="AJ255" s="25">
        <f t="shared" ref="AJ255" si="955">LN(F255/C255)</f>
        <v>-4.9175565166152107E-3</v>
      </c>
      <c r="AK255" s="25">
        <f t="shared" ref="AK255" si="956">+LN(G255/C255)</f>
        <v>1.1049593520274887E-3</v>
      </c>
      <c r="AL255" s="25">
        <f t="shared" ref="AL255" si="957">LN(H255/I255)</f>
        <v>9.5407068413973402E-3</v>
      </c>
      <c r="AM255" s="25">
        <f t="shared" ref="AM255" si="958">LN(O255/P255)</f>
        <v>1.0639064208935964E-2</v>
      </c>
      <c r="AN255" s="25">
        <f t="shared" ref="AN255" si="959">LN(L255/G255)</f>
        <v>0</v>
      </c>
      <c r="AO255" s="40">
        <f t="shared" ref="AO255" si="960">(C255-I255)/(H255-I255)</f>
        <v>0.85931309617482265</v>
      </c>
      <c r="AP255" s="40">
        <f t="shared" ref="AP255" si="961">(N254-I255)/(H255-I255)</f>
        <v>1.3478520451125839</v>
      </c>
      <c r="AQ255" s="25">
        <f t="shared" ref="AQ255" si="962">LN(M255/L255)</f>
        <v>-1.8504871473082898E-3</v>
      </c>
      <c r="AR255" s="25">
        <f t="shared" ref="AR255" si="963">LN(N255/L255)</f>
        <v>4.2039545667105103E-3</v>
      </c>
      <c r="AS255" s="25">
        <f t="shared" ref="AS255" si="964">LN(N255/C255)</f>
        <v>5.3089139187378993E-3</v>
      </c>
      <c r="AT255" s="28">
        <f t="shared" ref="AT255" si="965">+(G255-I255)/(H255-I255)</f>
        <v>0.97559048052898112</v>
      </c>
      <c r="AU255" s="28">
        <f t="shared" ref="AU255" si="966">+(N255-P255)/(O255-P255)</f>
        <v>0.96848050959027165</v>
      </c>
      <c r="AV255" s="40">
        <f t="shared" ref="AV255" si="967">+(N255-V255)/(U255-V255)</f>
        <v>0.97574292195404178</v>
      </c>
      <c r="AW255" s="25">
        <f t="shared" ref="AW255" si="968">LN(N255/C255)</f>
        <v>5.3089139187378993E-3</v>
      </c>
      <c r="AX255" s="28">
        <f t="shared" ref="AX255" si="969">(N255-L255)/(U255-V255)</f>
        <v>0.3049752754814406</v>
      </c>
      <c r="AY255" s="25">
        <f t="shared" ref="AY255" si="970">LN(G255/I255)</f>
        <v>9.3089033223043103E-3</v>
      </c>
      <c r="AZ255" s="25">
        <f t="shared" ref="AZ255" si="971">LN(N255/P255)</f>
        <v>1.0305448214295411E-2</v>
      </c>
      <c r="BA255" s="25">
        <f t="shared" ref="BA255" si="972">AV254</f>
        <v>0.32238553962582628</v>
      </c>
      <c r="BB255" s="25">
        <f t="shared" ref="BB255" si="973">AR254</f>
        <v>-3.5675626032117178E-3</v>
      </c>
      <c r="BC255" s="25">
        <f t="shared" ref="BC255" si="974">AS254</f>
        <v>-2.501763748578815E-3</v>
      </c>
      <c r="BD255" s="39">
        <f t="shared" ref="BD255" si="975">IF(AR254&lt;0,1,0)</f>
        <v>1</v>
      </c>
      <c r="BE255" t="str">
        <f t="shared" ref="BE255" si="976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977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978">IF(B255=3,IF(AV254&lt;0.85,IF(AND(K255&gt;942,AT255&gt;0.9),0.25,1)*IF(AR254&lt;-0.004,1,0.5),0),"")</f>
        <v>0.125</v>
      </c>
      <c r="BH255" t="str">
        <f t="shared" ref="BH255" si="979">IF(B255=4,IF(AV254&lt;0.6,IF(AQ255&gt;=0,IF(K255&lt;1018,2,1),0),IF(AV254&gt;0.85,IF(AQ255&lt;=0,-0.5,0),0)),"")</f>
        <v/>
      </c>
      <c r="BI255" t="str">
        <f t="shared" ref="BI255" si="980">IF(B255=5,IF(AV254&lt;0.4,IF(AQ255&gt; -0.004,1,0),IF(AV254&lt;0.95,IF(AND(AO255&lt;0.85,AT255&lt;0.95,AQ255&gt;0,K255&lt;1115),0.5,0),0)),"")</f>
        <v/>
      </c>
      <c r="BJ255" s="25">
        <f t="shared" ref="BJ255" si="981">IF(MAX(BE255:BI255)=0,"",MAX(BE255:BI255)*AR255)</f>
        <v>5.2549432083881379E-4</v>
      </c>
    </row>
    <row r="256" spans="1:62">
      <c r="A256" s="1">
        <v>42880</v>
      </c>
      <c r="B256" s="41">
        <f t="shared" si="24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52"/>
        <v>3100.2408149999992</v>
      </c>
      <c r="T256" t="str">
        <f t="shared" ref="T256" si="982">IF(AVERAGE(N255)&lt;S255,"熊",IF(AVERAGE(N255)&gt;S255,"牛",""))</f>
        <v>熊</v>
      </c>
      <c r="U256">
        <f t="shared" ref="U256" si="983">MAX(H256,O256)</f>
        <v>3114.6529</v>
      </c>
      <c r="V256">
        <f t="shared" ref="V256" si="984">MIN(I256,P256)</f>
        <v>3053.1419999999998</v>
      </c>
      <c r="W256" s="40">
        <f t="shared" ref="W256" si="985">LN(U256/V256)</f>
        <v>1.9946493160348022E-2</v>
      </c>
      <c r="X256">
        <f t="shared" ref="X256" si="986">IF(U256=H256,J256,Q256)</f>
        <v>1344</v>
      </c>
      <c r="Y256">
        <f t="shared" ref="Y256" si="987">IF(V256=I256,K256,R256)</f>
        <v>930</v>
      </c>
      <c r="Z256" s="25">
        <f t="shared" ref="Z256" si="988">(U256-V256)/(C256)</f>
        <v>2.0132243766451785E-2</v>
      </c>
      <c r="AA256" s="25">
        <f t="shared" ref="AA256" si="989">LN(C256/N255)</f>
        <v>-2.7611445952333384E-3</v>
      </c>
      <c r="AB256" s="25">
        <f t="shared" ref="AB256" si="990">LN(N256/U256)</f>
        <v>-2.1791480797108739E-3</v>
      </c>
      <c r="AC256" s="25">
        <f t="shared" ref="AC256" si="991">LN(N256/V256)</f>
        <v>1.7767345080637067E-2</v>
      </c>
      <c r="AD256" s="25">
        <f t="shared" ref="AD256" si="992">LN(U256/C256)</f>
        <v>1.9226019826843674E-2</v>
      </c>
      <c r="AE256" s="25">
        <f t="shared" ref="AE256" si="993">LN(V256/C256)</f>
        <v>-7.2047333350421297E-4</v>
      </c>
      <c r="AF256" s="25">
        <f t="shared" ref="AF256" si="994">LN(N256/C256)</f>
        <v>1.7046871747132746E-2</v>
      </c>
      <c r="AG256" s="25">
        <f t="shared" ref="AG256" si="995">LN(N256/N255)</f>
        <v>1.4285727151899446E-2</v>
      </c>
      <c r="AH256" s="25">
        <f t="shared" ref="AH256" si="996">LN(D256/C256)</f>
        <v>3.2537702322576697E-4</v>
      </c>
      <c r="AI256" s="25">
        <f t="shared" ref="AI256" si="997">LN(E256/C256)</f>
        <v>-2.1541640104568338E-4</v>
      </c>
      <c r="AJ256" s="25">
        <f t="shared" ref="AJ256" si="998">LN(F256/C256)</f>
        <v>2.6847004129787111E-3</v>
      </c>
      <c r="AK256" s="25">
        <f t="shared" ref="AK256" si="999">+LN(G256/C256)</f>
        <v>6.7313318795907042E-3</v>
      </c>
      <c r="AL256" s="25">
        <f t="shared" ref="AL256" si="1000">LN(H256/I256)</f>
        <v>7.5753680174931335E-3</v>
      </c>
      <c r="AM256" s="25">
        <f t="shared" ref="AM256" si="1001">LN(O256/P256)</f>
        <v>1.2494687947252987E-2</v>
      </c>
      <c r="AN256" s="25">
        <f t="shared" ref="AN256" si="1002">LN(L256/G256)</f>
        <v>0</v>
      </c>
      <c r="AO256" s="40">
        <f t="shared" ref="AO256" si="1003">(C256-I256)/(H256-I256)</f>
        <v>9.4781728512065774E-2</v>
      </c>
      <c r="AP256" s="40">
        <f t="shared" ref="AP256" si="1004">(N255-I256)/(H256-I256)</f>
        <v>0.45865655891284385</v>
      </c>
      <c r="AQ256" s="25">
        <f t="shared" ref="AQ256" si="1005">LN(M256/L256)</f>
        <v>3.0720859500966125E-3</v>
      </c>
      <c r="AR256" s="25">
        <f t="shared" ref="AR256" si="1006">LN(N256/L256)</f>
        <v>1.0315539867542051E-2</v>
      </c>
      <c r="AS256" s="25">
        <f t="shared" ref="AS256" si="1007">LN(N256/C256)</f>
        <v>1.7046871747132746E-2</v>
      </c>
      <c r="AT256" s="28">
        <f t="shared" ref="AT256" si="1008">+(G256-I256)/(H256-I256)</f>
        <v>0.98362802317318043</v>
      </c>
      <c r="AU256" s="28">
        <f t="shared" ref="AU256" si="1009">+(N256-P256)/(O256-P256)</f>
        <v>0.82469327334548648</v>
      </c>
      <c r="AV256" s="40">
        <f t="shared" ref="AV256" si="1010">+(N256-V256)/(U256-V256)</f>
        <v>0.88977725898987048</v>
      </c>
      <c r="AW256" s="25">
        <f t="shared" ref="AW256" si="1011">LN(N256/C256)</f>
        <v>1.7046871747132746E-2</v>
      </c>
      <c r="AX256" s="28">
        <f t="shared" ref="AX256" si="1012">(N256-L256)/(U256-V256)</f>
        <v>0.51851948191296127</v>
      </c>
      <c r="AY256" s="25">
        <f t="shared" ref="AY256" si="1013">LN(G256/I256)</f>
        <v>7.4518052130949052E-3</v>
      </c>
      <c r="AZ256" s="25">
        <f t="shared" ref="AZ256" si="1014">LN(N256/P256)</f>
        <v>1.0315539867542051E-2</v>
      </c>
      <c r="BA256" s="25">
        <f t="shared" ref="BA256" si="1015">AV255</f>
        <v>0.97574292195404178</v>
      </c>
      <c r="BB256" s="25">
        <f t="shared" ref="BB256" si="1016">AR255</f>
        <v>4.2039545667105103E-3</v>
      </c>
      <c r="BC256" s="25">
        <f t="shared" ref="BC256" si="1017">AS255</f>
        <v>5.3089139187378993E-3</v>
      </c>
      <c r="BD256" s="39">
        <f t="shared" ref="BD256" si="1018">IF(AR255&lt;0,1,0)</f>
        <v>0</v>
      </c>
      <c r="BE256" t="str">
        <f t="shared" ref="BE256" si="1019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20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21">IF(B256=3,IF(AV255&lt;0.85,IF(AND(K256&gt;942,AT256&gt;0.9),0.25,1)*IF(AR255&lt;-0.004,1,0.5),0),"")</f>
        <v/>
      </c>
      <c r="BH256">
        <f t="shared" ref="BH256" si="1022">IF(B256=4,IF(AV255&lt;0.6,IF(AQ256&gt;=0,IF(K256&lt;1018,2,1),0),IF(AV255&gt;0.85,IF(AQ256&lt;=0,-0.5,0),0)),"")</f>
        <v>0</v>
      </c>
      <c r="BI256" t="str">
        <f t="shared" ref="BI256" si="1023">IF(B256=5,IF(AV255&lt;0.4,IF(AQ256&gt; -0.004,1,0),IF(AV255&lt;0.95,IF(AND(AO256&lt;0.85,AT256&lt;0.95,AQ256&gt;0,K256&lt;1115),0.5,0),0)),"")</f>
        <v/>
      </c>
      <c r="BJ256" s="25" t="str">
        <f t="shared" ref="BJ256" si="1024">IF(MAX(BE256:BI256)=0,"",MAX(BE256:BI256)*AR256)</f>
        <v/>
      </c>
    </row>
    <row r="257" spans="1:62">
      <c r="A257" s="1">
        <v>42881</v>
      </c>
      <c r="B257" s="41">
        <f t="shared" si="24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52"/>
        <v>3098.5542949999995</v>
      </c>
      <c r="T257" t="str">
        <f t="shared" ref="T257" si="1025">IF(AVERAGE(N256)&lt;S256,"熊",IF(AVERAGE(N256)&gt;S256,"牛",""))</f>
        <v>牛</v>
      </c>
      <c r="U257">
        <f t="shared" ref="U257" si="1026">MAX(H257,O257)</f>
        <v>3120.58</v>
      </c>
      <c r="V257">
        <f t="shared" ref="V257" si="1027">MIN(I257,P257)</f>
        <v>3100.94</v>
      </c>
      <c r="W257" s="40">
        <f t="shared" ref="W257" si="1028">LN(U257/V257)</f>
        <v>6.313590646602499E-3</v>
      </c>
      <c r="X257">
        <f t="shared" ref="X257" si="1029">IF(U257=H257,J257,Q257)</f>
        <v>1019</v>
      </c>
      <c r="Y257">
        <f t="shared" ref="Y257" si="1030">IF(V257=I257,K257,R257)</f>
        <v>930</v>
      </c>
      <c r="Z257" s="25">
        <f t="shared" ref="Z257" si="1031">(U257-V257)/(C257)</f>
        <v>6.3328690089253055E-3</v>
      </c>
      <c r="AA257" s="25">
        <f t="shared" ref="AA257" si="1032">LN(C257/N256)</f>
        <v>-2.1236398838245883E-3</v>
      </c>
      <c r="AB257" s="25">
        <f t="shared" ref="AB257" si="1033">LN(N257/U257)</f>
        <v>-3.3800787481766672E-3</v>
      </c>
      <c r="AC257" s="25">
        <f t="shared" ref="AC257" si="1034">LN(N257/V257)</f>
        <v>2.9335118984257563E-3</v>
      </c>
      <c r="AD257" s="25">
        <f t="shared" ref="AD257" si="1035">LN(U257/C257)</f>
        <v>6.2039524846731762E-3</v>
      </c>
      <c r="AE257" s="25">
        <f t="shared" ref="AE257" si="1036">LN(V257/C257)</f>
        <v>-1.0963816192938262E-4</v>
      </c>
      <c r="AF257" s="25">
        <f t="shared" ref="AF257" si="1037">LN(N257/C257)</f>
        <v>2.8238737364964751E-3</v>
      </c>
      <c r="AG257" s="25">
        <f t="shared" ref="AG257" si="1038">LN(N257/N256)</f>
        <v>7.0023385267203202E-4</v>
      </c>
      <c r="AH257" s="25">
        <f t="shared" ref="AH257" si="1039">LN(D257/C257)</f>
        <v>1.1730206623633479E-3</v>
      </c>
      <c r="AI257" s="25">
        <f t="shared" ref="AI257" si="1040">LN(E257/C257)</f>
        <v>1.9746522992344796E-3</v>
      </c>
      <c r="AJ257" s="25">
        <f t="shared" ref="AJ257" si="1041">LN(F257/C257)</f>
        <v>3.9775302965654831E-3</v>
      </c>
      <c r="AK257" s="25">
        <f t="shared" ref="AK257" si="1042">+LN(G257/C257)</f>
        <v>2.7949348762675769E-3</v>
      </c>
      <c r="AL257" s="25">
        <f t="shared" ref="AL257" si="1043">LN(H257/I257)</f>
        <v>6.313590646602499E-3</v>
      </c>
      <c r="AM257" s="25">
        <f t="shared" ref="AM257" si="1044">LN(O257/P257)</f>
        <v>3.7739047761278783E-3</v>
      </c>
      <c r="AN257" s="25">
        <f t="shared" ref="AN257" si="1045">LN(L257/G257)</f>
        <v>4.661352808962789E-4</v>
      </c>
      <c r="AO257" s="40">
        <f t="shared" ref="AO257" si="1046">(C257-I257)/(H257-I257)</f>
        <v>1.7311608961310985E-2</v>
      </c>
      <c r="AP257" s="40">
        <f t="shared" ref="AP257" si="1047">(N256-I257)/(H257-I257)</f>
        <v>0.35300407331975753</v>
      </c>
      <c r="AQ257" s="25">
        <f t="shared" ref="AQ257" si="1048">LN(M257/L257)</f>
        <v>-7.3948805077747874E-4</v>
      </c>
      <c r="AR257" s="25">
        <f t="shared" ref="AR257" si="1049">LN(N257/L257)</f>
        <v>-4.3719642066728751E-4</v>
      </c>
      <c r="AS257" s="25">
        <f t="shared" ref="AS257" si="1050">LN(N257/C257)</f>
        <v>2.8238737364964751E-3</v>
      </c>
      <c r="AT257" s="28">
        <f t="shared" ref="AT257" si="1051">+(G257-I257)/(H257-I257)</f>
        <v>0.45926680244399393</v>
      </c>
      <c r="AU257" s="28">
        <f t="shared" ref="AU257" si="1052">+(N257-P257)/(O257-P257)</f>
        <v>0.43270868824533898</v>
      </c>
      <c r="AV257" s="40">
        <f t="shared" ref="AV257" si="1053">+(N257-V257)/(U257-V257)</f>
        <v>0.46384928716905227</v>
      </c>
      <c r="AW257" s="25">
        <f t="shared" ref="AW257" si="1054">LN(N257/C257)</f>
        <v>2.8238737364964751E-3</v>
      </c>
      <c r="AX257" s="28">
        <f t="shared" ref="AX257" si="1055">(N257-L257)/(U257-V257)</f>
        <v>-6.9246435845197629E-2</v>
      </c>
      <c r="AY257" s="25">
        <f t="shared" ref="AY257" si="1056">LN(G257/I257)</f>
        <v>2.9045730381968751E-3</v>
      </c>
      <c r="AZ257" s="25">
        <f t="shared" ref="AZ257" si="1057">LN(N257/P257)</f>
        <v>1.6347497293072088E-3</v>
      </c>
      <c r="BA257" s="25">
        <f t="shared" ref="BA257" si="1058">AV256</f>
        <v>0.88977725898987048</v>
      </c>
      <c r="BB257" s="25">
        <f t="shared" ref="BB257" si="1059">AR256</f>
        <v>1.0315539867542051E-2</v>
      </c>
      <c r="BC257" s="25">
        <f t="shared" ref="BC257" si="1060">AS256</f>
        <v>1.7046871747132746E-2</v>
      </c>
      <c r="BD257" s="39">
        <f t="shared" ref="BD257" si="1061">IF(AR256&lt;0,1,0)</f>
        <v>0</v>
      </c>
      <c r="BE257" t="str">
        <f t="shared" ref="BE257" si="1062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063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064">IF(B257=3,IF(AV256&lt;0.85,IF(AND(K257&gt;942,AT257&gt;0.9),0.25,1)*IF(AR256&lt;-0.004,1,0.5),0),"")</f>
        <v/>
      </c>
      <c r="BH257" t="str">
        <f t="shared" ref="BH257" si="1065">IF(B257=4,IF(AV256&lt;0.6,IF(AQ257&gt;=0,IF(K257&lt;1018,2,1),0),IF(AV256&gt;0.85,IF(AQ257&lt;=0,-0.5,0),0)),"")</f>
        <v/>
      </c>
      <c r="BI257">
        <f t="shared" ref="BI257" si="1066">IF(B257=5,IF(AV256&lt;0.4,IF(AQ257&gt; -0.004,1,0),IF(AV256&lt;0.95,IF(AND(AO257&lt;0.85,AT257&lt;0.95,AQ257&gt;0,K257&lt;1115),0.5,0),0)),"")</f>
        <v>0</v>
      </c>
      <c r="BJ257" s="25" t="str">
        <f t="shared" ref="BJ257" si="1067">IF(MAX(BE257:BI257)=0,"",MAX(BE257:BI257)*AR257)</f>
        <v/>
      </c>
    </row>
    <row r="258" spans="1:62">
      <c r="A258" s="1">
        <v>42886</v>
      </c>
      <c r="B258" s="41">
        <f t="shared" ref="B258" si="106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52"/>
        <v>3096.4295049999996</v>
      </c>
      <c r="T258" t="str">
        <f t="shared" ref="T258" si="1069">IF(AVERAGE(N257)&lt;S257,"熊",IF(AVERAGE(N257)&gt;S257,"牛",""))</f>
        <v>牛</v>
      </c>
      <c r="U258">
        <f t="shared" ref="U258" si="1070">MAX(H258,O258)</f>
        <v>3143.08</v>
      </c>
      <c r="V258">
        <f t="shared" ref="V258" si="1071">MIN(I258,P258)</f>
        <v>3111.77</v>
      </c>
      <c r="W258" s="40">
        <f t="shared" ref="W258" si="1072">LN(U258/V258)</f>
        <v>1.001151475013907E-2</v>
      </c>
      <c r="X258">
        <f t="shared" ref="X258" si="1073">IF(U258=H258,J258,Q258)</f>
        <v>954</v>
      </c>
      <c r="Y258">
        <f t="shared" ref="Y258" si="1074">IF(V258=I258,K258,R258)</f>
        <v>1309</v>
      </c>
      <c r="Z258" s="25">
        <f t="shared" ref="Z258" si="1075">(U258-V258)/(C258)</f>
        <v>1.0018174138968152E-2</v>
      </c>
      <c r="AA258" s="25">
        <f t="shared" ref="AA258" si="1076">LN(C258/N257)</f>
        <v>4.8978747135181907E-3</v>
      </c>
      <c r="AB258" s="25">
        <f t="shared" ref="AB258" si="1077">LN(N258/U258)</f>
        <v>-8.2776719605810265E-3</v>
      </c>
      <c r="AC258" s="25">
        <f t="shared" ref="AC258" si="1078">LN(N258/V258)</f>
        <v>1.733842789558102E-3</v>
      </c>
      <c r="AD258" s="25">
        <f t="shared" ref="AD258" si="1079">LN(U258/C258)</f>
        <v>5.6665329341381706E-3</v>
      </c>
      <c r="AE258" s="25">
        <f t="shared" ref="AE258" si="1080">LN(V258/C258)</f>
        <v>-4.3449818160009824E-3</v>
      </c>
      <c r="AF258" s="25">
        <f t="shared" ref="AF258" si="1081">LN(N258/C258)</f>
        <v>-2.6111390264429222E-3</v>
      </c>
      <c r="AG258" s="25">
        <f t="shared" ref="AG258" si="1082">LN(N258/N257)</f>
        <v>2.286735687075435E-3</v>
      </c>
      <c r="AH258" s="25">
        <f t="shared" ref="AH258" si="1083">LN(D258/C258)</f>
        <v>8.0279543423833965E-4</v>
      </c>
      <c r="AI258" s="25">
        <f t="shared" ref="AI258" si="1084">LN(E258/C258)</f>
        <v>2.1115608031989919E-4</v>
      </c>
      <c r="AJ258" s="25">
        <f t="shared" ref="AJ258" si="1085">LN(F258/C258)</f>
        <v>-5.1207866647150874E-4</v>
      </c>
      <c r="AK258" s="25">
        <f t="shared" ref="AK258" si="1086">+LN(G258/C258)</f>
        <v>-4.1264805410765213E-3</v>
      </c>
      <c r="AL258" s="25">
        <f t="shared" ref="AL258" si="1087">LN(H258/I258)</f>
        <v>1.0005087560556254E-2</v>
      </c>
      <c r="AM258" s="25">
        <f t="shared" ref="AM258" si="1088">LN(O258/P258)</f>
        <v>2.7502741132495209E-3</v>
      </c>
      <c r="AN258" s="25">
        <f t="shared" ref="AN258" si="1089">LN(L258/G258)</f>
        <v>8.0319349777752201E-5</v>
      </c>
      <c r="AO258" s="40">
        <f t="shared" ref="AO258" si="1090">(C258-I258)/(H258-I258)</f>
        <v>0.43240651965484872</v>
      </c>
      <c r="AP258" s="40">
        <f t="shared" ref="AP258" si="1091">(N257-I258)/(H258-I258)</f>
        <v>-5.5608820709484939E-2</v>
      </c>
      <c r="AQ258" s="25">
        <f t="shared" ref="AQ258" si="1092">LN(M258/L258)</f>
        <v>3.3727083970903411E-4</v>
      </c>
      <c r="AR258" s="25">
        <f t="shared" ref="AR258" si="1093">LN(N258/L258)</f>
        <v>1.4350221648558091E-3</v>
      </c>
      <c r="AS258" s="25">
        <f t="shared" ref="AS258" si="1094">LN(N258/C258)</f>
        <v>-2.6111390264429222E-3</v>
      </c>
      <c r="AT258" s="28">
        <f t="shared" ref="AT258" si="1095">+(G258-I258)/(H258-I258)</f>
        <v>2.1093000958768145E-2</v>
      </c>
      <c r="AU258" s="28">
        <f t="shared" ref="AU258" si="1096">+(N258-P258)/(O258-P258)</f>
        <v>0.6301050175029157</v>
      </c>
      <c r="AV258" s="40">
        <f t="shared" ref="AV258" si="1097">+(N258-V258)/(U258-V258)</f>
        <v>0.17246885978920792</v>
      </c>
      <c r="AW258" s="25">
        <f t="shared" ref="AW258" si="1098">LN(N258/C258)</f>
        <v>-2.6111390264429222E-3</v>
      </c>
      <c r="AX258" s="28">
        <f t="shared" ref="AX258" si="1099">(N258-L258)/(U258-V258)</f>
        <v>0.14276588949218341</v>
      </c>
      <c r="AY258" s="25">
        <f t="shared" ref="AY258" si="1100">LN(G258/I258)</f>
        <v>2.1207408534155595E-4</v>
      </c>
      <c r="AZ258" s="25">
        <f t="shared" ref="AZ258" si="1101">LN(N258/P258)</f>
        <v>1.733842789558102E-3</v>
      </c>
      <c r="BA258" s="25">
        <f t="shared" ref="BA258" si="1102">AV257</f>
        <v>0.46384928716905227</v>
      </c>
      <c r="BB258" s="25">
        <f t="shared" ref="BB258" si="1103">AR257</f>
        <v>-4.3719642066728751E-4</v>
      </c>
      <c r="BC258" s="25">
        <f t="shared" ref="BC258" si="1104">AS257</f>
        <v>2.8238737364964751E-3</v>
      </c>
      <c r="BD258" s="39">
        <f t="shared" ref="BD258" si="1105">IF(AR257&lt;0,1,0)</f>
        <v>1</v>
      </c>
      <c r="BE258" t="str">
        <f t="shared" ref="BE258" si="1106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07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08">IF(B258=3,IF(AV257&lt;0.85,IF(AND(K258&gt;942,AT258&gt;0.9),0.25,1)*IF(AR257&lt;-0.004,1,0.5),0),"")</f>
        <v>0.5</v>
      </c>
      <c r="BH258" t="str">
        <f t="shared" ref="BH258" si="1109">IF(B258=4,IF(AV257&lt;0.6,IF(AQ258&gt;=0,IF(K258&lt;1018,2,1),0),IF(AV257&gt;0.85,IF(AQ258&lt;=0,-0.5,0),0)),"")</f>
        <v/>
      </c>
      <c r="BI258" t="str">
        <f t="shared" ref="BI258" si="1110">IF(B258=5,IF(AV257&lt;0.4,IF(AQ258&gt; -0.004,1,0),IF(AV257&lt;0.95,IF(AND(AO258&lt;0.85,AT258&lt;0.95,AQ258&gt;0,K258&lt;1115),0.5,0),0)),"")</f>
        <v/>
      </c>
      <c r="BJ258" s="25">
        <f t="shared" ref="BJ258" si="1111">IF(MAX(BE258:BI258)=0,"",MAX(BE258:BI258)*AR258)</f>
        <v>7.1751108242790456E-4</v>
      </c>
    </row>
    <row r="259" spans="1:62">
      <c r="A259" s="1">
        <v>42887</v>
      </c>
      <c r="B259" s="41">
        <f t="shared" si="24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52"/>
        <v>3094.5684849999998</v>
      </c>
      <c r="T259" t="str">
        <f t="shared" ref="T259" si="1112">IF(AVERAGE(N258)&lt;S258,"熊",IF(AVERAGE(N258)&gt;S258,"牛",""))</f>
        <v>牛</v>
      </c>
      <c r="U259">
        <f t="shared" ref="U259" si="1113">MAX(H259,O259)</f>
        <v>3113.4567000000002</v>
      </c>
      <c r="V259">
        <f t="shared" ref="V259" si="1114">MIN(I259,P259)</f>
        <v>3097.9421000000002</v>
      </c>
      <c r="W259" s="40">
        <f t="shared" ref="W259" si="1115">LN(U259/V259)</f>
        <v>4.9955357123029447E-3</v>
      </c>
      <c r="X259">
        <f t="shared" ref="X259" si="1116">IF(U259=H259,J259,Q259)</f>
        <v>1339</v>
      </c>
      <c r="Y259">
        <f t="shared" ref="Y259" si="1117">IF(V259=I259,K259,R259)</f>
        <v>1013</v>
      </c>
      <c r="Z259" s="25">
        <f t="shared" ref="Z259" si="1118">(U259-V259)/(C259)</f>
        <v>4.9911508137217087E-3</v>
      </c>
      <c r="AA259" s="25">
        <f t="shared" ref="AA259" si="1119">LN(C259/N258)</f>
        <v>-2.8105300193079028E-3</v>
      </c>
      <c r="AB259" s="25">
        <f t="shared" ref="AB259" si="1120">LN(N259/U259)</f>
        <v>-3.7837878633107652E-3</v>
      </c>
      <c r="AC259" s="25">
        <f t="shared" ref="AC259" si="1121">LN(N259/V259)</f>
        <v>1.2117478489921385E-3</v>
      </c>
      <c r="AD259" s="25">
        <f t="shared" ref="AD259" si="1122">LN(U259/C259)</f>
        <v>1.6185791551554588E-3</v>
      </c>
      <c r="AE259" s="25">
        <f t="shared" ref="AE259" si="1123">LN(V259/C259)</f>
        <v>-3.3769565571474119E-3</v>
      </c>
      <c r="AF259" s="25">
        <f t="shared" ref="AF259" si="1124">LN(N259/C259)</f>
        <v>-2.1652087081552307E-3</v>
      </c>
      <c r="AG259" s="25">
        <f t="shared" ref="AG259" si="1125">LN(N259/N258)</f>
        <v>-4.9757387274631283E-3</v>
      </c>
      <c r="AH259" s="25">
        <f t="shared" ref="AH259" si="1126">LN(D259/C259)</f>
        <v>-9.2655822870308174E-5</v>
      </c>
      <c r="AI259" s="25">
        <f t="shared" ref="AI259" si="1127">LN(E259/C259)</f>
        <v>-2.3438042419326815E-3</v>
      </c>
      <c r="AJ259" s="25">
        <f t="shared" ref="AJ259" si="1128">LN(F259/C259)</f>
        <v>8.6546679588802179E-4</v>
      </c>
      <c r="AK259" s="25">
        <f t="shared" ref="AK259" si="1129">+LN(G259/C259)</f>
        <v>-2.2717366701854791E-3</v>
      </c>
      <c r="AL259" s="25">
        <f t="shared" ref="AL259" si="1130">LN(H259/I259)</f>
        <v>4.430698383106486E-3</v>
      </c>
      <c r="AM259" s="25">
        <f t="shared" ref="AM259" si="1131">LN(O259/P259)</f>
        <v>4.7520488632467163E-3</v>
      </c>
      <c r="AN259" s="25">
        <f t="shared" ref="AN259" si="1132">LN(L259/G259)</f>
        <v>0</v>
      </c>
      <c r="AO259" s="40">
        <f t="shared" ref="AO259" si="1133">(C259-I259)/(H259-I259)</f>
        <v>0.76177079925853208</v>
      </c>
      <c r="AP259" s="40">
        <f t="shared" ref="AP259" si="1134">(N258-I259)/(H259-I259)</f>
        <v>1.3977319812452236</v>
      </c>
      <c r="AQ259" s="25">
        <f t="shared" ref="AQ259" si="1135">LN(M259/L259)</f>
        <v>5.8956594440859604E-4</v>
      </c>
      <c r="AR259" s="25">
        <f t="shared" ref="AR259" si="1136">LN(N259/L259)</f>
        <v>1.0652796203022389E-4</v>
      </c>
      <c r="AS259" s="25">
        <f t="shared" ref="AS259" si="1137">LN(N259/C259)</f>
        <v>-2.1652087081552307E-3</v>
      </c>
      <c r="AT259" s="28">
        <f t="shared" ref="AT259" si="1138">+(G259-I259)/(H259-I259)</f>
        <v>0.24903136699014947</v>
      </c>
      <c r="AU259" s="28">
        <f t="shared" ref="AU259" si="1139">+(N259-P259)/(O259-P259)</f>
        <v>0.20337122803213836</v>
      </c>
      <c r="AV259" s="40">
        <f t="shared" ref="AV259" si="1140">+(N259-V259)/(U259-V259)</f>
        <v>0.24210743428769124</v>
      </c>
      <c r="AW259" s="25">
        <f t="shared" ref="AW259" si="1141">LN(N259/C259)</f>
        <v>-2.1652087081552307E-3</v>
      </c>
      <c r="AX259" s="28">
        <f t="shared" ref="AX259" si="1142">(N259-L259)/(U259-V259)</f>
        <v>2.1296069508709693E-2</v>
      </c>
      <c r="AY259" s="25">
        <f t="shared" ref="AY259" si="1143">LN(G259/I259)</f>
        <v>1.1052198869619732E-3</v>
      </c>
      <c r="AZ259" s="25">
        <f t="shared" ref="AZ259" si="1144">LN(N259/P259)</f>
        <v>9.6826099993605711E-4</v>
      </c>
      <c r="BA259" s="25">
        <f t="shared" ref="BA259" si="1145">AV258</f>
        <v>0.17246885978920792</v>
      </c>
      <c r="BB259" s="25">
        <f t="shared" ref="BB259" si="1146">AR258</f>
        <v>1.4350221648558091E-3</v>
      </c>
      <c r="BC259" s="25">
        <f t="shared" ref="BC259" si="1147">AS258</f>
        <v>-2.6111390264429222E-3</v>
      </c>
      <c r="BD259" s="39">
        <f t="shared" ref="BD259" si="1148">IF(AR258&lt;0,1,0)</f>
        <v>0</v>
      </c>
      <c r="BE259" t="str">
        <f t="shared" ref="BE259" si="1149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50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51">IF(B259=3,IF(AV258&lt;0.85,IF(AND(K259&gt;942,AT259&gt;0.9),0.25,1)*IF(AR258&lt;-0.004,1,0.5),0),"")</f>
        <v/>
      </c>
      <c r="BH259">
        <f t="shared" ref="BH259" si="1152">IF(B259=4,IF(AV258&lt;0.6,IF(AQ259&gt;=0,IF(K259&lt;1018,2,1),0),IF(AV258&gt;0.85,IF(AQ259&lt;=0,-0.5,0),0)),"")</f>
        <v>2</v>
      </c>
      <c r="BI259" t="str">
        <f t="shared" ref="BI259" si="1153">IF(B259=5,IF(AV258&lt;0.4,IF(AQ259&gt; -0.004,1,0),IF(AV258&lt;0.95,IF(AND(AO259&lt;0.85,AT259&lt;0.95,AQ259&gt;0,K259&lt;1115),0.5,0),0)),"")</f>
        <v/>
      </c>
      <c r="BJ259" s="25">
        <f t="shared" ref="BJ259" si="1154">IF(MAX(BE259:BI259)=0,"",MAX(BE259:BI259)*AR259)</f>
        <v>2.1305592406044779E-4</v>
      </c>
    </row>
    <row r="260" spans="1:62">
      <c r="A260" s="1">
        <v>42888</v>
      </c>
      <c r="B260" s="41">
        <f t="shared" si="24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52"/>
        <v>3092.4480699999999</v>
      </c>
      <c r="T260" t="str">
        <f t="shared" ref="T260" si="1155">IF(AVERAGE(N259)&lt;S259,"熊",IF(AVERAGE(N259)&gt;S259,"牛",""))</f>
        <v>牛</v>
      </c>
      <c r="U260">
        <f t="shared" ref="U260" si="1156">MAX(H260,O260)</f>
        <v>3109.7863000000002</v>
      </c>
      <c r="V260">
        <f t="shared" ref="V260" si="1157">MIN(I260,P260)</f>
        <v>3081.9169000000002</v>
      </c>
      <c r="W260" s="40">
        <f t="shared" ref="W260" si="1158">LN(U260/V260)</f>
        <v>9.0022364804894471E-3</v>
      </c>
      <c r="X260">
        <f t="shared" ref="X260" si="1159">IF(U260=H260,J260,Q260)</f>
        <v>1427</v>
      </c>
      <c r="Y260">
        <f t="shared" ref="Y260" si="1160">IF(V260=I260,K260,R260)</f>
        <v>1046</v>
      </c>
      <c r="Z260" s="25">
        <f t="shared" ref="Z260" si="1161">(U260-V260)/(C260)</f>
        <v>9.0069071570192515E-3</v>
      </c>
      <c r="AA260" s="25">
        <f t="shared" ref="AA260" si="1162">LN(C260/N259)</f>
        <v>-2.4122323340777865E-3</v>
      </c>
      <c r="AB260" s="25">
        <f t="shared" ref="AB260" si="1163">LN(N260/U260)</f>
        <v>-1.2242415088959666E-3</v>
      </c>
      <c r="AC260" s="25">
        <f t="shared" ref="AC260" si="1164">LN(N260/V260)</f>
        <v>7.7779949715933629E-3</v>
      </c>
      <c r="AD260" s="25">
        <f t="shared" ref="AD260" si="1165">LN(U260/C260)</f>
        <v>5.0164421460141178E-3</v>
      </c>
      <c r="AE260" s="25">
        <f t="shared" ref="AE260" si="1166">LN(V260/C260)</f>
        <v>-3.9857943344751663E-3</v>
      </c>
      <c r="AF260" s="25">
        <f t="shared" ref="AF260" si="1167">LN(N260/C260)</f>
        <v>3.7922006371182817E-3</v>
      </c>
      <c r="AG260" s="25">
        <f t="shared" ref="AG260" si="1168">LN(N260/N259)</f>
        <v>1.3799683030405881E-3</v>
      </c>
      <c r="AH260" s="25">
        <f t="shared" ref="AH260" si="1169">LN(D260/C260)</f>
        <v>-8.2416447927245728E-4</v>
      </c>
      <c r="AI260" s="25">
        <f t="shared" ref="AI260" si="1170">LN(E260/C260)</f>
        <v>9.6539758707898254E-4</v>
      </c>
      <c r="AJ260" s="25">
        <f t="shared" ref="AJ260" si="1171">LN(F260/C260)</f>
        <v>-1.548370512489908E-3</v>
      </c>
      <c r="AK260" s="25">
        <f t="shared" ref="AK260" si="1172">+LN(G260/C260)</f>
        <v>7.6882202139340477E-5</v>
      </c>
      <c r="AL260" s="25">
        <f t="shared" ref="AL260" si="1173">LN(H260/I260)</f>
        <v>6.415049455907664E-3</v>
      </c>
      <c r="AM260" s="25">
        <f t="shared" ref="AM260" si="1174">LN(O260/P260)</f>
        <v>6.5777924497301713E-3</v>
      </c>
      <c r="AN260" s="25">
        <f t="shared" ref="AN260" si="1175">LN(L260/G260)</f>
        <v>0</v>
      </c>
      <c r="AO260" s="40">
        <f t="shared" ref="AO260" si="1176">(C260-I260)/(H260-I260)</f>
        <v>0.62056447953534943</v>
      </c>
      <c r="AP260" s="40">
        <f t="shared" ref="AP260" si="1177">(N259-I260)/(H260-I260)</f>
        <v>0.99733793145173821</v>
      </c>
      <c r="AQ260" s="25">
        <f t="shared" ref="AQ260" si="1178">LN(M260/L260)</f>
        <v>-6.0581354947264173E-4</v>
      </c>
      <c r="AR260" s="25">
        <f t="shared" ref="AR260" si="1179">LN(N260/L260)</f>
        <v>3.7153184349789149E-3</v>
      </c>
      <c r="AS260" s="25">
        <f t="shared" ref="AS260" si="1180">LN(N260/C260)</f>
        <v>3.7922006371182817E-3</v>
      </c>
      <c r="AT260" s="28">
        <f t="shared" ref="AT260" si="1181">+(G260-I260)/(H260-I260)</f>
        <v>0.63255891339202541</v>
      </c>
      <c r="AU260" s="28">
        <f t="shared" ref="AU260" si="1182">+(N260-P260)/(O260-P260)</f>
        <v>0.81338408114416583</v>
      </c>
      <c r="AV260" s="40">
        <f t="shared" ref="AV260" si="1183">+(N260-V260)/(U260-V260)</f>
        <v>0.86347750579487415</v>
      </c>
      <c r="AW260" s="25">
        <f t="shared" ref="AW260" si="1184">LN(N260/C260)</f>
        <v>3.7922006371182817E-3</v>
      </c>
      <c r="AX260" s="28">
        <f t="shared" ref="AX260" si="1185">(N260-L260)/(U260-V260)</f>
        <v>0.41329558583965603</v>
      </c>
      <c r="AY260" s="25">
        <f t="shared" ref="AY260" si="1186">LN(G260/I260)</f>
        <v>4.0626765366146532E-3</v>
      </c>
      <c r="AZ260" s="25">
        <f t="shared" ref="AZ260" si="1187">LN(N260/P260)</f>
        <v>5.3535509408341531E-3</v>
      </c>
      <c r="BA260" s="25">
        <f t="shared" ref="BA260" si="1188">AV259</f>
        <v>0.24210743428769124</v>
      </c>
      <c r="BB260" s="25">
        <f t="shared" ref="BB260" si="1189">AR259</f>
        <v>1.0652796203022389E-4</v>
      </c>
      <c r="BC260" s="25">
        <f t="shared" ref="BC260" si="1190">AS259</f>
        <v>-2.1652087081552307E-3</v>
      </c>
      <c r="BD260" s="39">
        <f t="shared" ref="BD260" si="1191">IF(AR259&lt;0,1,0)</f>
        <v>0</v>
      </c>
      <c r="BE260" t="str">
        <f t="shared" ref="BE260" si="1192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193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194">IF(B260=3,IF(AV259&lt;0.85,IF(AND(K260&gt;942,AT260&gt;0.9),0.25,1)*IF(AR259&lt;-0.004,1,0.5),0),"")</f>
        <v/>
      </c>
      <c r="BH260" t="str">
        <f t="shared" ref="BH260" si="1195">IF(B260=4,IF(AV259&lt;0.6,IF(AQ260&gt;=0,IF(K260&lt;1018,2,1),0),IF(AV259&gt;0.85,IF(AQ260&lt;=0,-0.5,0),0)),"")</f>
        <v/>
      </c>
      <c r="BI260">
        <f t="shared" ref="BI260" si="1196">IF(B260=5,IF(AV259&lt;0.4,IF(AQ260&gt; -0.004,1,0),IF(AV259&lt;0.95,IF(AND(AO260&lt;0.85,AT260&lt;0.95,AQ260&gt;0,K260&lt;1115),0.5,0),0)),"")</f>
        <v>1</v>
      </c>
      <c r="BJ260" s="25">
        <f t="shared" ref="BJ260" si="1197">IF(MAX(BE260:BI260)=0,"",MAX(BE260:BI260)*AR260)</f>
        <v>3.7153184349789149E-3</v>
      </c>
    </row>
    <row r="261" spans="1:62">
      <c r="A261" s="1">
        <v>42891</v>
      </c>
      <c r="B261" s="41">
        <f t="shared" si="24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52"/>
        <v>3090.9552950000002</v>
      </c>
      <c r="T261" t="str">
        <f t="shared" ref="T261" si="1198">IF(AVERAGE(N260)&lt;S260,"熊",IF(AVERAGE(N260)&gt;S260,"牛",""))</f>
        <v>牛</v>
      </c>
      <c r="U261">
        <f t="shared" ref="U261" si="1199">MAX(H261,O261)</f>
        <v>3105.5056</v>
      </c>
      <c r="V261">
        <f t="shared" ref="V261" si="1200">MIN(I261,P261)</f>
        <v>3084.8548999999998</v>
      </c>
      <c r="W261" s="40">
        <f t="shared" ref="W261" si="1201">LN(U261/V261)</f>
        <v>6.6719140523292513E-3</v>
      </c>
      <c r="X261">
        <f t="shared" ref="X261" si="1202">IF(U261=H261,J261,Q261)</f>
        <v>930</v>
      </c>
      <c r="Y261">
        <f t="shared" ref="Y261" si="1203">IF(V261=I261,K261,R261)</f>
        <v>1352</v>
      </c>
      <c r="Z261" s="25">
        <f t="shared" ref="Z261" si="1204">(U261-V261)/(C261)</f>
        <v>6.6569861573229899E-3</v>
      </c>
      <c r="AA261" s="25">
        <f t="shared" ref="AA261" si="1205">LN(C261/N260)</f>
        <v>-1.2474045570772111E-3</v>
      </c>
      <c r="AB261" s="25">
        <f t="shared" ref="AB261" si="1206">LN(N261/U261)</f>
        <v>-4.5116514369178979E-3</v>
      </c>
      <c r="AC261" s="25">
        <f t="shared" ref="AC261" si="1207">LN(N261/V261)</f>
        <v>2.1602626154114536E-3</v>
      </c>
      <c r="AD261" s="25">
        <f t="shared" ref="AD261" si="1208">LN(U261/C261)</f>
        <v>1.0941723299891304E-3</v>
      </c>
      <c r="AE261" s="25">
        <f t="shared" ref="AE261" si="1209">LN(V261/C261)</f>
        <v>-5.5777417223402256E-3</v>
      </c>
      <c r="AF261" s="25">
        <f t="shared" ref="AF261" si="1210">LN(N261/C261)</f>
        <v>-3.4174791069288175E-3</v>
      </c>
      <c r="AG261" s="25">
        <f t="shared" ref="AG261" si="1211">LN(N261/N260)</f>
        <v>-4.6648836640060063E-3</v>
      </c>
      <c r="AH261" s="25">
        <f t="shared" ref="AH261" si="1212">LN(D261/C261)</f>
        <v>2.2124430867228616E-4</v>
      </c>
      <c r="AI261" s="25">
        <f t="shared" ref="AI261" si="1213">LN(E261/C261)</f>
        <v>2.6375345229383122E-4</v>
      </c>
      <c r="AJ261" s="25">
        <f t="shared" ref="AJ261" si="1214">LN(F261/C261)</f>
        <v>-1.4604276721026221E-3</v>
      </c>
      <c r="AK261" s="25">
        <f t="shared" ref="AK261" si="1215">+LN(G261/C261)</f>
        <v>-3.5836891492510479E-3</v>
      </c>
      <c r="AL261" s="25">
        <f t="shared" ref="AL261" si="1216">LN(H261/I261)</f>
        <v>5.8840188932261133E-3</v>
      </c>
      <c r="AM261" s="25">
        <f t="shared" ref="AM261" si="1217">LN(O261/P261)</f>
        <v>3.0087066481425295E-3</v>
      </c>
      <c r="AN261" s="25">
        <f t="shared" ref="AN261" si="1218">LN(L261/G261)</f>
        <v>0</v>
      </c>
      <c r="AO261" s="40">
        <f t="shared" ref="AO261" si="1219">(C261-I261)/(H261-I261)</f>
        <v>0.81359774304031285</v>
      </c>
      <c r="AP261" s="40">
        <f t="shared" ref="AP261" si="1220">(N260-I261)/(H261-I261)</f>
        <v>1.0261207956441507</v>
      </c>
      <c r="AQ261" s="25">
        <f t="shared" ref="AQ261" si="1221">LN(M261/L261)</f>
        <v>-5.1465639214751753E-4</v>
      </c>
      <c r="AR261" s="25">
        <f t="shared" ref="AR261" si="1222">LN(N261/L261)</f>
        <v>1.6621004232235831E-4</v>
      </c>
      <c r="AS261" s="25">
        <f t="shared" ref="AS261" si="1223">LN(N261/C261)</f>
        <v>-3.4174791069288175E-3</v>
      </c>
      <c r="AT261" s="28">
        <f t="shared" ref="AT261" si="1224">+(G261-I261)/(H261-I261)</f>
        <v>0.20450952840959608</v>
      </c>
      <c r="AU261" s="28">
        <f t="shared" ref="AU261" si="1225">+(N261-P261)/(O261-P261)</f>
        <v>0.71769907696279811</v>
      </c>
      <c r="AV261" s="40">
        <f t="shared" ref="AV261" si="1226">+(N261-V261)/(U261-V261)</f>
        <v>0.32305442430522585</v>
      </c>
      <c r="AW261" s="25">
        <f t="shared" ref="AW261" si="1227">LN(N261/C261)</f>
        <v>-3.4174791069288175E-3</v>
      </c>
      <c r="AX261" s="28">
        <f t="shared" ref="AX261" si="1228">(N261-L261)/(U261-V261)</f>
        <v>2.4880512524985382E-2</v>
      </c>
      <c r="AY261" s="25">
        <f t="shared" ref="AY261" si="1229">LN(G261/I261)</f>
        <v>1.2061574139860583E-3</v>
      </c>
      <c r="AZ261" s="25">
        <f t="shared" ref="AZ261" si="1230">LN(N261/P261)</f>
        <v>2.1602626154114536E-3</v>
      </c>
      <c r="BA261" s="25">
        <f t="shared" ref="BA261" si="1231">AV260</f>
        <v>0.86347750579487415</v>
      </c>
      <c r="BB261" s="25">
        <f t="shared" ref="BB261" si="1232">AR260</f>
        <v>3.7153184349789149E-3</v>
      </c>
      <c r="BC261" s="25">
        <f t="shared" ref="BC261" si="1233">AS260</f>
        <v>3.7922006371182817E-3</v>
      </c>
      <c r="BD261" s="39">
        <f t="shared" ref="BD261" si="1234">IF(AR260&lt;0,1,0)</f>
        <v>0</v>
      </c>
      <c r="BE261" t="str">
        <f t="shared" ref="BE261" si="1235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36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37">IF(B261=3,IF(AV260&lt;0.85,IF(AND(K261&gt;942,AT261&gt;0.9),0.25,1)*IF(AR260&lt;-0.004,1,0.5),0),"")</f>
        <v/>
      </c>
      <c r="BH261" t="str">
        <f t="shared" ref="BH261" si="1238">IF(B261=4,IF(AV260&lt;0.6,IF(AQ261&gt;=0,IF(K261&lt;1018,2,1),0),IF(AV260&gt;0.85,IF(AQ261&lt;=0,-0.5,0),0)),"")</f>
        <v/>
      </c>
      <c r="BI261" t="str">
        <f t="shared" ref="BI261" si="1239">IF(B261=5,IF(AV260&lt;0.4,IF(AQ261&gt; -0.004,1,0),IF(AV260&lt;0.95,IF(AND(AO261&lt;0.85,AT261&lt;0.95,AQ261&gt;0,K261&lt;1115),0.5,0),0)),"")</f>
        <v/>
      </c>
      <c r="BJ261" s="25" t="str">
        <f t="shared" ref="BJ261" si="1240">IF(MAX(BE261:BI261)=0,"",MAX(BE261:BI261)*AR261)</f>
        <v/>
      </c>
    </row>
    <row r="262" spans="1:62">
      <c r="A262" s="1">
        <v>42892</v>
      </c>
      <c r="B262" s="41">
        <f t="shared" si="24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52"/>
        <v>3089.1671099999999</v>
      </c>
      <c r="T262" t="str">
        <f t="shared" ref="T262" si="1241">IF(AVERAGE(N261)&lt;S261,"熊",IF(AVERAGE(N261)&gt;S261,"牛",""))</f>
        <v>牛</v>
      </c>
      <c r="U262">
        <f t="shared" ref="U262" si="1242">MAX(H262,O262)</f>
        <v>3102.3317000000002</v>
      </c>
      <c r="V262">
        <f t="shared" ref="V262" si="1243">MIN(I262,P262)</f>
        <v>3078.9261000000001</v>
      </c>
      <c r="W262" s="40">
        <f t="shared" ref="W262" si="1244">LN(U262/V262)</f>
        <v>7.5731226946795455E-3</v>
      </c>
      <c r="X262">
        <f t="shared" ref="X262" si="1245">IF(U262=H262,J262,Q262)</f>
        <v>1500</v>
      </c>
      <c r="Y262">
        <f t="shared" ref="Y262" si="1246">IF(V262=I262,K262,R262)</f>
        <v>930</v>
      </c>
      <c r="Z262" s="25">
        <f t="shared" ref="Z262" si="1247">(U262-V262)/(C262)</f>
        <v>7.5880355713320267E-3</v>
      </c>
      <c r="AA262" s="25">
        <f t="shared" ref="AA262" si="1248">LN(C262/N261)</f>
        <v>-2.2623147616179519E-3</v>
      </c>
      <c r="AB262" s="25">
        <f t="shared" ref="AB262" si="1249">LN(N262/U262)</f>
        <v>0</v>
      </c>
      <c r="AC262" s="25">
        <f t="shared" ref="AC262" si="1250">LN(N262/V262)</f>
        <v>7.5731226946795455E-3</v>
      </c>
      <c r="AD262" s="25">
        <f t="shared" ref="AD262" si="1251">LN(U262/C262)</f>
        <v>5.7514199805308993E-3</v>
      </c>
      <c r="AE262" s="25">
        <f t="shared" ref="AE262" si="1252">LN(V262/C262)</f>
        <v>-1.8217027141487544E-3</v>
      </c>
      <c r="AF262" s="25">
        <f t="shared" ref="AF262" si="1253">LN(N262/C262)</f>
        <v>5.7514199805308993E-3</v>
      </c>
      <c r="AG262" s="25">
        <f t="shared" ref="AG262" si="1254">LN(N262/N261)</f>
        <v>3.4891052189128594E-3</v>
      </c>
      <c r="AH262" s="25">
        <f t="shared" ref="AH262" si="1255">LN(D262/C262)</f>
        <v>-9.6154544372475481E-4</v>
      </c>
      <c r="AI262" s="25">
        <f t="shared" ref="AI262" si="1256">LN(E262/C262)</f>
        <v>-8.5248380897996647E-4</v>
      </c>
      <c r="AJ262" s="25">
        <f t="shared" ref="AJ262" si="1257">LN(F262/C262)</f>
        <v>2.726452945873561E-4</v>
      </c>
      <c r="AK262" s="25">
        <f t="shared" ref="AK262" si="1258">+LN(G262/C262)</f>
        <v>1.3313902468242735E-4</v>
      </c>
      <c r="AL262" s="25">
        <f t="shared" ref="AL262" si="1259">LN(H262/I262)</f>
        <v>5.5753069881419263E-3</v>
      </c>
      <c r="AM262" s="25">
        <f t="shared" ref="AM262" si="1260">LN(O262/P262)</f>
        <v>6.1161437632187912E-3</v>
      </c>
      <c r="AN262" s="25">
        <f t="shared" ref="AN262" si="1261">LN(L262/G262)</f>
        <v>0</v>
      </c>
      <c r="AO262" s="40">
        <f t="shared" ref="AO262" si="1262">(C262-I262)/(H262-I262)</f>
        <v>0.3261317888450681</v>
      </c>
      <c r="AP262" s="40">
        <f t="shared" ref="AP262" si="1263">(N261-I262)/(H262-I262)</f>
        <v>0.73197241763922449</v>
      </c>
      <c r="AQ262" s="25">
        <f t="shared" ref="AQ262" si="1264">LN(M262/L262)</f>
        <v>-2.0488649165562666E-4</v>
      </c>
      <c r="AR262" s="25">
        <f t="shared" ref="AR262" si="1265">LN(N262/L262)</f>
        <v>5.6182809558485546E-3</v>
      </c>
      <c r="AS262" s="25">
        <f t="shared" ref="AS262" si="1266">LN(N262/C262)</f>
        <v>5.7514199805308993E-3</v>
      </c>
      <c r="AT262" s="28">
        <f t="shared" ref="AT262" si="1267">+(G262-I262)/(H262-I262)</f>
        <v>0.34999041472298725</v>
      </c>
      <c r="AU262" s="28">
        <f t="shared" ref="AU262" si="1268">+(N262-P262)/(O262-P262)</f>
        <v>1</v>
      </c>
      <c r="AV262" s="40">
        <f t="shared" ref="AV262" si="1269">+(N262-V262)/(U262-V262)</f>
        <v>1</v>
      </c>
      <c r="AW262" s="25">
        <f t="shared" ref="AW262" si="1270">LN(N262/C262)</f>
        <v>5.7514199805308993E-3</v>
      </c>
      <c r="AX262" s="28">
        <f t="shared" ref="AX262" si="1271">(N262-L262)/(U262-V262)</f>
        <v>0.74259578904194179</v>
      </c>
      <c r="AY262" s="25">
        <f t="shared" ref="AY262" si="1272">LN(G262/I262)</f>
        <v>1.9548417388312554E-3</v>
      </c>
      <c r="AZ262" s="25">
        <f t="shared" ref="AZ262" si="1273">LN(N262/P262)</f>
        <v>6.1161437632187912E-3</v>
      </c>
      <c r="BA262" s="25">
        <f t="shared" ref="BA262" si="1274">AV261</f>
        <v>0.32305442430522585</v>
      </c>
      <c r="BB262" s="25">
        <f t="shared" ref="BB262" si="1275">AR261</f>
        <v>1.6621004232235831E-4</v>
      </c>
      <c r="BC262" s="25">
        <f t="shared" ref="BC262" si="1276">AS261</f>
        <v>-3.4174791069288175E-3</v>
      </c>
      <c r="BD262" s="39">
        <f t="shared" ref="BD262" si="1277">IF(AR261&lt;0,1,0)</f>
        <v>0</v>
      </c>
      <c r="BE262">
        <f t="shared" ref="BE262" si="1278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279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280">IF(B262=3,IF(AV261&lt;0.85,IF(AND(K262&gt;942,AT262&gt;0.9),0.25,1)*IF(AR261&lt;-0.004,1,0.5),0),"")</f>
        <v/>
      </c>
      <c r="BH262" t="str">
        <f t="shared" ref="BH262" si="1281">IF(B262=4,IF(AV261&lt;0.6,IF(AQ262&gt;=0,IF(K262&lt;1018,2,1),0),IF(AV261&gt;0.85,IF(AQ262&lt;=0,-0.5,0),0)),"")</f>
        <v/>
      </c>
      <c r="BI262" t="str">
        <f t="shared" ref="BI262" si="1282">IF(B262=5,IF(AV261&lt;0.4,IF(AQ262&gt; -0.004,1,0),IF(AV261&lt;0.95,IF(AND(AO262&lt;0.85,AT262&lt;0.95,AQ262&gt;0,K262&lt;1115),0.5,0),0)),"")</f>
        <v/>
      </c>
      <c r="BJ262" s="25">
        <f t="shared" ref="BJ262" si="1283">IF(MAX(BE262:BI262)=0,"",MAX(BE262:BI262)*AR262)</f>
        <v>5.6182809558485546E-3</v>
      </c>
    </row>
    <row r="263" spans="1:62">
      <c r="A263" s="1">
        <v>42893</v>
      </c>
      <c r="B263" s="41">
        <f t="shared" si="24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52"/>
        <v>3089.1158150000001</v>
      </c>
      <c r="T263" t="str">
        <f t="shared" ref="T263" si="1284">IF(AVERAGE(N262)&lt;S262,"熊",IF(AVERAGE(N262)&gt;S262,"牛",""))</f>
        <v>牛</v>
      </c>
      <c r="U263">
        <f t="shared" ref="U263" si="1285">MAX(H263,O263)</f>
        <v>3140.7743</v>
      </c>
      <c r="V263">
        <f t="shared" ref="V263" si="1286">MIN(I263,P263)</f>
        <v>3098.9852000000001</v>
      </c>
      <c r="W263" s="40">
        <f t="shared" ref="W263" si="1287">LN(U263/V263)</f>
        <v>1.3394658817852364E-2</v>
      </c>
      <c r="X263">
        <f t="shared" ref="X263" si="1288">IF(U263=H263,J263,Q263)</f>
        <v>1459</v>
      </c>
      <c r="Y263">
        <f t="shared" ref="Y263" si="1289">IF(V263=I263,K263,R263)</f>
        <v>931</v>
      </c>
      <c r="Z263" s="25">
        <f t="shared" ref="Z263" si="1290">(U263-V263)/(C263)</f>
        <v>1.3472702343778399E-2</v>
      </c>
      <c r="AA263" s="25">
        <f t="shared" ref="AA263" si="1291">LN(C263/N262)</f>
        <v>-1.840398097260766E-4</v>
      </c>
      <c r="AB263" s="25">
        <f t="shared" ref="AB263" si="1292">LN(N263/U263)</f>
        <v>-7.8264018771851296E-5</v>
      </c>
      <c r="AC263" s="25">
        <f t="shared" ref="AC263" si="1293">LN(N263/V263)</f>
        <v>1.3316394799080462E-2</v>
      </c>
      <c r="AD263" s="25">
        <f t="shared" ref="AD263" si="1294">LN(U263/C263)</f>
        <v>1.2499411637794004E-2</v>
      </c>
      <c r="AE263" s="25">
        <f t="shared" ref="AE263" si="1295">LN(V263/C263)</f>
        <v>-8.9524718005845811E-4</v>
      </c>
      <c r="AF263" s="25">
        <f t="shared" ref="AF263" si="1296">LN(N263/C263)</f>
        <v>1.2421147619022079E-2</v>
      </c>
      <c r="AG263" s="25">
        <f t="shared" ref="AG263" si="1297">LN(N263/N262)</f>
        <v>1.2237107809296027E-2</v>
      </c>
      <c r="AH263" s="25">
        <f t="shared" ref="AH263" si="1298">LN(D263/C263)</f>
        <v>-5.690968143650377E-4</v>
      </c>
      <c r="AI263" s="25">
        <f t="shared" ref="AI263" si="1299">LN(E263/C263)</f>
        <v>2.8853639253793314E-4</v>
      </c>
      <c r="AJ263" s="25">
        <f t="shared" ref="AJ263" si="1300">LN(F263/C263)</f>
        <v>1.9182940665416555E-3</v>
      </c>
      <c r="AK263" s="25">
        <f t="shared" ref="AK263" si="1301">+LN(G263/C263)</f>
        <v>9.3837057731280954E-3</v>
      </c>
      <c r="AL263" s="25">
        <f t="shared" ref="AL263" si="1302">LN(H263/I263)</f>
        <v>1.0303641216357184E-2</v>
      </c>
      <c r="AM263" s="25">
        <f t="shared" ref="AM263" si="1303">LN(O263/P263)</f>
        <v>3.1157058646658375E-3</v>
      </c>
      <c r="AN263" s="25">
        <f t="shared" ref="AN263" si="1304">LN(L263/G263)</f>
        <v>0</v>
      </c>
      <c r="AO263" s="40">
        <f t="shared" ref="AO263" si="1305">(C263-I263)/(H263-I263)</f>
        <v>8.6478335239079052E-2</v>
      </c>
      <c r="AP263" s="40">
        <f t="shared" ref="AP263" si="1306">(N262-I263)/(H263-I263)</f>
        <v>0.10426565386856658</v>
      </c>
      <c r="AQ263" s="25">
        <f t="shared" ref="AQ263" si="1307">LN(M263/L263)</f>
        <v>1.9486566942115233E-3</v>
      </c>
      <c r="AR263" s="25">
        <f t="shared" ref="AR263" si="1308">LN(N263/L263)</f>
        <v>3.0374418458938329E-3</v>
      </c>
      <c r="AS263" s="25">
        <f t="shared" ref="AS263" si="1309">LN(N263/C263)</f>
        <v>1.2421147619022079E-2</v>
      </c>
      <c r="AT263" s="28">
        <f t="shared" ref="AT263" si="1310">+(G263-I263)/(H263-I263)</f>
        <v>0.99759159269564268</v>
      </c>
      <c r="AU263" s="28">
        <f t="shared" ref="AU263" si="1311">+(N263-P263)/(O263-P263)</f>
        <v>0.97484263855481879</v>
      </c>
      <c r="AV263" s="40">
        <f t="shared" ref="AV263" si="1312">+(N263-V263)/(U263-V263)</f>
        <v>0.99411808342366448</v>
      </c>
      <c r="AW263" s="25">
        <f t="shared" ref="AW263" si="1313">LN(N263/C263)</f>
        <v>1.2421147619022079E-2</v>
      </c>
      <c r="AX263" s="28">
        <f t="shared" ref="AX263" si="1314">(N263-L263)/(U263-V263)</f>
        <v>0.22792307084861715</v>
      </c>
      <c r="AY263" s="25">
        <f t="shared" ref="AY263" si="1315">LN(G263/I263)</f>
        <v>1.0278952953186669E-2</v>
      </c>
      <c r="AZ263" s="25">
        <f t="shared" ref="AZ263" si="1316">LN(N263/P263)</f>
        <v>3.0374418458938329E-3</v>
      </c>
      <c r="BA263" s="25">
        <f t="shared" ref="BA263" si="1317">AV262</f>
        <v>1</v>
      </c>
      <c r="BB263" s="25">
        <f t="shared" ref="BB263" si="1318">AR262</f>
        <v>5.6182809558485546E-3</v>
      </c>
      <c r="BC263" s="25">
        <f t="shared" ref="BC263" si="1319">AS262</f>
        <v>5.7514199805308993E-3</v>
      </c>
      <c r="BD263" s="39">
        <f t="shared" ref="BD263" si="1320">IF(AR262&lt;0,1,0)</f>
        <v>0</v>
      </c>
      <c r="BE263" t="str">
        <f t="shared" ref="BE263" si="1321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22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23">IF(B263=3,IF(AV262&lt;0.85,IF(AND(K263&gt;942,AT263&gt;0.9),0.25,1)*IF(AR262&lt;-0.004,1,0.5),0),"")</f>
        <v>0</v>
      </c>
      <c r="BH263" t="str">
        <f t="shared" ref="BH263" si="1324">IF(B263=4,IF(AV262&lt;0.6,IF(AQ263&gt;=0,IF(K263&lt;1018,2,1),0),IF(AV262&gt;0.85,IF(AQ263&lt;=0,-0.5,0),0)),"")</f>
        <v/>
      </c>
      <c r="BI263" t="str">
        <f t="shared" ref="BI263" si="1325">IF(B263=5,IF(AV262&lt;0.4,IF(AQ263&gt; -0.004,1,0),IF(AV262&lt;0.95,IF(AND(AO263&lt;0.85,AT263&lt;0.95,AQ263&gt;0,K263&lt;1115),0.5,0),0)),"")</f>
        <v/>
      </c>
      <c r="BJ263" s="25" t="str">
        <f t="shared" ref="BJ263" si="1326">IF(MAX(BE263:BI263)=0,"",MAX(BE263:BI263)*AR263)</f>
        <v/>
      </c>
    </row>
    <row r="264" spans="1:62">
      <c r="A264" s="1">
        <v>42894</v>
      </c>
      <c r="B264" s="41">
        <f t="shared" si="24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52"/>
        <v>3092.3029350000002</v>
      </c>
      <c r="T264" t="str">
        <f t="shared" ref="T264" si="1327">IF(AVERAGE(N263)&lt;S263,"熊",IF(AVERAGE(N263)&gt;S263,"牛",""))</f>
        <v>牛</v>
      </c>
      <c r="U264">
        <f t="shared" ref="U264" si="1328">MAX(H264,O264)</f>
        <v>3153.2426999999998</v>
      </c>
      <c r="V264">
        <f t="shared" ref="V264" si="1329">MIN(I264,P264)</f>
        <v>3132.8278</v>
      </c>
      <c r="W264" s="40">
        <f t="shared" ref="W264" si="1330">LN(U264/V264)</f>
        <v>6.495304745184235E-3</v>
      </c>
      <c r="X264">
        <f t="shared" ref="X264" si="1331">IF(U264=H264,J264,Q264)</f>
        <v>1443</v>
      </c>
      <c r="Y264">
        <f t="shared" ref="Y264" si="1332">IF(V264=I264,K264,R264)</f>
        <v>1043</v>
      </c>
      <c r="Z264" s="25">
        <f t="shared" ref="Z264" si="1333">(U264-V264)/(C264)</f>
        <v>6.5088767772563975E-3</v>
      </c>
      <c r="AA264" s="25">
        <f t="shared" ref="AA264" si="1334">LN(C264/N263)</f>
        <v>-1.2929747369217627E-3</v>
      </c>
      <c r="AB264" s="25">
        <f t="shared" ref="AB264" si="1335">LN(N264/U264)</f>
        <v>-7.3272071611038471E-4</v>
      </c>
      <c r="AC264" s="25">
        <f t="shared" ref="AC264" si="1336">LN(N264/V264)</f>
        <v>5.7625840290737619E-3</v>
      </c>
      <c r="AD264" s="25">
        <f t="shared" ref="AD264" si="1337">LN(U264/C264)</f>
        <v>5.3332287884759579E-3</v>
      </c>
      <c r="AE264" s="25">
        <f t="shared" ref="AE264" si="1338">LN(V264/C264)</f>
        <v>-1.162075956708405E-3</v>
      </c>
      <c r="AF264" s="25">
        <f t="shared" ref="AF264" si="1339">LN(N264/C264)</f>
        <v>4.6005080723653374E-3</v>
      </c>
      <c r="AG264" s="25">
        <f t="shared" ref="AG264" si="1340">LN(N264/N263)</f>
        <v>3.3075333354437293E-3</v>
      </c>
      <c r="AH264" s="25">
        <f t="shared" ref="AH264" si="1341">LN(D264/C264)</f>
        <v>-2.8635007959472149E-4</v>
      </c>
      <c r="AI264" s="25">
        <f t="shared" ref="AI264" si="1342">LN(E264/C264)</f>
        <v>2.4390686831602664E-4</v>
      </c>
      <c r="AJ264" s="25">
        <f t="shared" ref="AJ264" si="1343">LN(F264/C264)</f>
        <v>7.7200315089491619E-4</v>
      </c>
      <c r="AK264" s="25">
        <f t="shared" ref="AK264" si="1344">+LN(G264/C264)</f>
        <v>2.656210407718477E-3</v>
      </c>
      <c r="AL264" s="25">
        <f t="shared" ref="AL264" si="1345">LN(H264/I264)</f>
        <v>4.0754387258511481E-3</v>
      </c>
      <c r="AM264" s="25">
        <f t="shared" ref="AM264" si="1346">LN(O264/P264)</f>
        <v>5.0214619301782223E-3</v>
      </c>
      <c r="AN264" s="25">
        <f t="shared" ref="AN264" si="1347">LN(L264/G264)</f>
        <v>0</v>
      </c>
      <c r="AO264" s="40">
        <f t="shared" ref="AO264" si="1348">(C264-I264)/(H264-I264)</f>
        <v>0.28472607611557471</v>
      </c>
      <c r="AP264" s="40">
        <f t="shared" ref="AP264" si="1349">(N263-I264)/(H264-I264)</f>
        <v>0.60191344177210393</v>
      </c>
      <c r="AQ264" s="25">
        <f t="shared" ref="AQ264" si="1350">LN(M264/L264)</f>
        <v>-4.7244496071305293E-4</v>
      </c>
      <c r="AR264" s="25">
        <f t="shared" ref="AR264" si="1351">LN(N264/L264)</f>
        <v>1.944297664646995E-3</v>
      </c>
      <c r="AS264" s="25">
        <f t="shared" ref="AS264" si="1352">LN(N264/C264)</f>
        <v>4.6005080723653374E-3</v>
      </c>
      <c r="AT264" s="28">
        <f t="shared" ref="AT264" si="1353">+(G264-I264)/(H264-I264)</f>
        <v>0.93678138458770832</v>
      </c>
      <c r="AU264" s="28">
        <f t="shared" ref="AU264" si="1354">+(N264-P264)/(O264-P264)</f>
        <v>0.85376910511455995</v>
      </c>
      <c r="AV264" s="40">
        <f t="shared" ref="AV264" si="1355">+(N264-V264)/(U264-V264)</f>
        <v>0.88686694522140108</v>
      </c>
      <c r="AW264" s="25">
        <f t="shared" ref="AW264" si="1356">LN(N264/C264)</f>
        <v>4.6005080723653374E-3</v>
      </c>
      <c r="AX264" s="28">
        <f t="shared" ref="AX264" si="1357">(N264-L264)/(U264-V264)</f>
        <v>0.29980063581013461</v>
      </c>
      <c r="AY264" s="25">
        <f t="shared" ref="AY264" si="1358">LN(G264/I264)</f>
        <v>3.8182863644266349E-3</v>
      </c>
      <c r="AZ264" s="25">
        <f t="shared" ref="AZ264" si="1359">LN(N264/P264)</f>
        <v>4.2887412140679036E-3</v>
      </c>
      <c r="BA264" s="25">
        <f t="shared" ref="BA264" si="1360">AV263</f>
        <v>0.99411808342366448</v>
      </c>
      <c r="BB264" s="25">
        <f t="shared" ref="BB264" si="1361">AR263</f>
        <v>3.0374418458938329E-3</v>
      </c>
      <c r="BC264" s="25">
        <f t="shared" ref="BC264" si="1362">AS263</f>
        <v>1.2421147619022079E-2</v>
      </c>
      <c r="BD264" s="39">
        <f t="shared" ref="BD264" si="1363">IF(AR263&lt;0,1,0)</f>
        <v>0</v>
      </c>
      <c r="BE264" t="str">
        <f t="shared" ref="BE264" si="1364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365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366">IF(B264=3,IF(AV263&lt;0.85,IF(AND(K264&gt;942,AT264&gt;0.9),0.25,1)*IF(AR263&lt;-0.004,1,0.5),0),"")</f>
        <v/>
      </c>
      <c r="BH264">
        <f t="shared" ref="BH264" si="1367">IF(B264=4,IF(AV263&lt;0.6,IF(AQ264&gt;=0,IF(K264&lt;1018,2,1),0),IF(AV263&gt;0.85,IF(AQ264&lt;=0,-0.5,0),0)),"")</f>
        <v>-0.5</v>
      </c>
      <c r="BI264" t="str">
        <f t="shared" ref="BI264" si="1368">IF(B264=5,IF(AV263&lt;0.4,IF(AQ264&gt; -0.004,1,0),IF(AV263&lt;0.95,IF(AND(AO264&lt;0.85,AT264&lt;0.95,AQ264&gt;0,K264&lt;1115),0.5,0),0)),"")</f>
        <v/>
      </c>
      <c r="BJ264" s="25">
        <f t="shared" ref="BJ264" si="1369">IF(MAX(BE264:BI264)=0,"",MAX(BE264:BI264)*AR264)</f>
        <v>-9.7214883232349749E-4</v>
      </c>
    </row>
    <row r="265" spans="1:62">
      <c r="A265" s="1">
        <v>42895</v>
      </c>
      <c r="B265" s="41">
        <f t="shared" si="24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52"/>
        <v>3095.8230900000003</v>
      </c>
      <c r="T265" t="str">
        <f t="shared" ref="T265" si="1370">IF(AVERAGE(N264)&lt;S264,"熊",IF(AVERAGE(N264)&gt;S264,"牛",""))</f>
        <v>牛</v>
      </c>
      <c r="U265">
        <f t="shared" ref="U265" si="1371">MAX(H265,O265)</f>
        <v>3165.5722000000001</v>
      </c>
      <c r="V265">
        <f t="shared" ref="V265" si="1372">MIN(I265,P265)</f>
        <v>3146.1451000000002</v>
      </c>
      <c r="W265" s="40">
        <f t="shared" ref="W265" si="1373">LN(U265/V265)</f>
        <v>6.1559035127772771E-3</v>
      </c>
      <c r="X265">
        <f t="shared" ref="X265" si="1374">IF(U265=H265,J265,Q265)</f>
        <v>1026</v>
      </c>
      <c r="Y265">
        <f t="shared" ref="Y265" si="1375">IF(V265=I265,K265,R265)</f>
        <v>930</v>
      </c>
      <c r="Z265" s="25">
        <f t="shared" ref="Z265" si="1376">(U265-V265)/(C265)</f>
        <v>6.1723235099309911E-3</v>
      </c>
      <c r="AA265" s="25">
        <f t="shared" ref="AA265" si="1377">LN(C265/N264)</f>
        <v>-1.1049815406895965E-3</v>
      </c>
      <c r="AB265" s="25">
        <f t="shared" ref="AB265" si="1378">LN(N265/U265)</f>
        <v>-2.158684091139164E-3</v>
      </c>
      <c r="AC265" s="25">
        <f t="shared" ref="AC265" si="1379">LN(N265/V265)</f>
        <v>3.9972194216381408E-3</v>
      </c>
      <c r="AD265" s="25">
        <f t="shared" ref="AD265" si="1380">LN(U265/C265)</f>
        <v>5.7401794910981784E-3</v>
      </c>
      <c r="AE265" s="25">
        <f t="shared" ref="AE265" si="1381">LN(V265/C265)</f>
        <v>-4.1572402167917589E-4</v>
      </c>
      <c r="AF265" s="25">
        <f t="shared" ref="AF265" si="1382">LN(N265/C265)</f>
        <v>3.5814953999589415E-3</v>
      </c>
      <c r="AG265" s="25">
        <f t="shared" ref="AG265" si="1383">LN(N265/N264)</f>
        <v>2.4765138592693949E-3</v>
      </c>
      <c r="AH265" s="25">
        <f t="shared" ref="AH265" si="1384">LN(D265/C265)</f>
        <v>-1.7061558341231774E-5</v>
      </c>
      <c r="AI265" s="25">
        <f t="shared" ref="AI265" si="1385">LN(E265/C265)</f>
        <v>1.5238490646595085E-3</v>
      </c>
      <c r="AJ265" s="25">
        <f t="shared" ref="AJ265" si="1386">LN(F265/C265)</f>
        <v>1.6908585028571376E-3</v>
      </c>
      <c r="AK265" s="25">
        <f t="shared" ref="AK265" si="1387">+LN(G265/C265)</f>
        <v>1.5868813546441873E-3</v>
      </c>
      <c r="AL265" s="25">
        <f t="shared" ref="AL265" si="1388">LN(H265/I265)</f>
        <v>6.1559035127772771E-3</v>
      </c>
      <c r="AM265" s="25">
        <f t="shared" ref="AM265" si="1389">LN(O265/P265)</f>
        <v>4.5504044068987396E-3</v>
      </c>
      <c r="AN265" s="25">
        <f t="shared" ref="AN265" si="1390">LN(L265/G265)</f>
        <v>0</v>
      </c>
      <c r="AO265" s="40">
        <f t="shared" ref="AO265" si="1391">(C265-I265)/(H265-I265)</f>
        <v>6.7338923462583217E-2</v>
      </c>
      <c r="AP265" s="40">
        <f t="shared" ref="AP265" si="1392">(N264-I265)/(H265-I265)</f>
        <v>0.24645984217922592</v>
      </c>
      <c r="AQ265" s="25">
        <f t="shared" ref="AQ265" si="1393">LN(M265/L265)</f>
        <v>-8.5112845819170651E-4</v>
      </c>
      <c r="AR265" s="25">
        <f t="shared" ref="AR265" si="1394">LN(N265/L265)</f>
        <v>1.9946140453148456E-3</v>
      </c>
      <c r="AS265" s="25">
        <f t="shared" ref="AS265" si="1395">LN(N265/C265)</f>
        <v>3.5814953999589415E-3</v>
      </c>
      <c r="AT265" s="28">
        <f t="shared" ref="AT265" si="1396">+(G265-I265)/(H265-I265)</f>
        <v>0.3246392925346489</v>
      </c>
      <c r="AU265" s="28">
        <f t="shared" ref="AU265" si="1397">+(N265-P265)/(O265-P265)</f>
        <v>0.8667488989240113</v>
      </c>
      <c r="AV265" s="40">
        <f t="shared" ref="AV265" si="1398">+(N265-V265)/(U265-V265)</f>
        <v>0.64863000653724612</v>
      </c>
      <c r="AW265" s="25">
        <f t="shared" ref="AW265" si="1399">LN(N265/C265)</f>
        <v>3.5814953999589415E-3</v>
      </c>
      <c r="AX265" s="28">
        <f t="shared" ref="AX265" si="1400">(N265-L265)/(U265-V265)</f>
        <v>0.32399071400259727</v>
      </c>
      <c r="AY265" s="25">
        <f t="shared" ref="AY265" si="1401">LN(G265/I265)</f>
        <v>2.0026053763233255E-3</v>
      </c>
      <c r="AZ265" s="25">
        <f t="shared" ref="AZ265" si="1402">LN(N265/P265)</f>
        <v>3.9452524123182193E-3</v>
      </c>
      <c r="BA265" s="25">
        <f t="shared" ref="BA265" si="1403">AV264</f>
        <v>0.88686694522140108</v>
      </c>
      <c r="BB265" s="25">
        <f t="shared" ref="BB265" si="1404">AR264</f>
        <v>1.944297664646995E-3</v>
      </c>
      <c r="BC265" s="25">
        <f t="shared" ref="BC265" si="1405">AS264</f>
        <v>4.6005080723653374E-3</v>
      </c>
      <c r="BD265" s="39">
        <f t="shared" ref="BD265" si="1406">IF(AR264&lt;0,1,0)</f>
        <v>0</v>
      </c>
      <c r="BE265" t="str">
        <f t="shared" ref="BE265" si="1407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08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09">IF(B265=3,IF(AV264&lt;0.85,IF(AND(K265&gt;942,AT265&gt;0.9),0.25,1)*IF(AR264&lt;-0.004,1,0.5),0),"")</f>
        <v/>
      </c>
      <c r="BH265" t="str">
        <f t="shared" ref="BH265" si="1410">IF(B265=4,IF(AV264&lt;0.6,IF(AQ265&gt;=0,IF(K265&lt;1018,2,1),0),IF(AV264&gt;0.85,IF(AQ265&lt;=0,-0.5,0),0)),"")</f>
        <v/>
      </c>
      <c r="BI265">
        <f t="shared" ref="BI265" si="1411">IF(B265=5,IF(AV264&lt;0.4,IF(AQ265&gt; -0.004,1,0),IF(AV264&lt;0.95,IF(AND(AO265&lt;0.85,AT265&lt;0.95,AQ265&gt;0,K265&lt;1115),0.5,0),0)),"")</f>
        <v>0</v>
      </c>
      <c r="BJ265" s="25" t="str">
        <f t="shared" ref="BJ265" si="1412">IF(MAX(BE265:BI265)=0,"",MAX(BE265:BI265)*AR265)</f>
        <v/>
      </c>
    </row>
    <row r="266" spans="1:62">
      <c r="A266" s="1">
        <v>42898</v>
      </c>
      <c r="B266" s="41">
        <f t="shared" si="24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52"/>
        <v>3101.1498949999996</v>
      </c>
      <c r="T266" t="str">
        <f t="shared" ref="T266" si="1413">IF(AVERAGE(N265)&lt;S265,"熊",IF(AVERAGE(N265)&gt;S265,"牛",""))</f>
        <v>牛</v>
      </c>
      <c r="U266">
        <f t="shared" ref="U266" si="1414">MAX(H266,O266)</f>
        <v>3164.95</v>
      </c>
      <c r="V266">
        <f t="shared" ref="V266" si="1415">MIN(I266,P266)</f>
        <v>3135.36</v>
      </c>
      <c r="W266" s="40">
        <f t="shared" ref="W266" si="1416">LN(U266/V266)</f>
        <v>9.3932576550251543E-3</v>
      </c>
      <c r="X266">
        <f t="shared" ref="X266" si="1417">IF(U266=H266,J266,Q266)</f>
        <v>1009</v>
      </c>
      <c r="Y266">
        <f t="shared" ref="Y266" si="1418">IF(V266=I266,K266,R266)</f>
        <v>1453</v>
      </c>
      <c r="Z266" s="25">
        <f t="shared" ref="Z266" si="1419">(U266-V266)/(C266)</f>
        <v>9.3950824252583536E-3</v>
      </c>
      <c r="AA266" s="25">
        <f t="shared" ref="AA266" si="1420">LN(C266/N265)</f>
        <v>-2.925084779889417E-3</v>
      </c>
      <c r="AB266" s="25">
        <f t="shared" ref="AB266" si="1421">LN(N266/U266)</f>
        <v>-7.9558598938232594E-3</v>
      </c>
      <c r="AC266" s="25">
        <f t="shared" ref="AC266" si="1422">LN(N266/V266)</f>
        <v>1.4373977612019005E-3</v>
      </c>
      <c r="AD266" s="25">
        <f t="shared" ref="AD266" si="1423">LN(U266/C266)</f>
        <v>4.8871974090394874E-3</v>
      </c>
      <c r="AE266" s="25">
        <f t="shared" ref="AE266" si="1424">LN(V266/C266)</f>
        <v>-4.5060602459855385E-3</v>
      </c>
      <c r="AF266" s="25">
        <f t="shared" ref="AF266" si="1425">LN(N266/C266)</f>
        <v>-3.06866248478366E-3</v>
      </c>
      <c r="AG266" s="25">
        <f t="shared" ref="AG266" si="1426">LN(N266/N265)</f>
        <v>-5.9937472646730394E-3</v>
      </c>
      <c r="AH266" s="25">
        <f t="shared" ref="AH266" si="1427">LN(D266/C266)</f>
        <v>-4.2237575873539982E-4</v>
      </c>
      <c r="AI266" s="25">
        <f t="shared" ref="AI266" si="1428">LN(E266/C266)</f>
        <v>6.5068109559731496E-4</v>
      </c>
      <c r="AJ266" s="25">
        <f t="shared" ref="AJ266" si="1429">LN(F266/C266)</f>
        <v>1.8018251521752383E-3</v>
      </c>
      <c r="AK266" s="25">
        <f t="shared" ref="AK266" si="1430">+LN(G266/C266)</f>
        <v>-1.4075536789079773E-3</v>
      </c>
      <c r="AL266" s="25">
        <f t="shared" ref="AL266" si="1431">LN(H266/I266)</f>
        <v>6.5936743305013059E-3</v>
      </c>
      <c r="AM266" s="25">
        <f t="shared" ref="AM266" si="1432">LN(O266/P266)</f>
        <v>4.9599946428019624E-3</v>
      </c>
      <c r="AN266" s="25">
        <f t="shared" ref="AN266" si="1433">LN(L266/G266)</f>
        <v>-5.9793586693149346E-4</v>
      </c>
      <c r="AO266" s="40">
        <f t="shared" ref="AO266" si="1434">(C266-I266)/(H266-I266)</f>
        <v>0.25817307692307506</v>
      </c>
      <c r="AP266" s="40">
        <f t="shared" ref="AP266" si="1435">(N265-I266)/(H266-I266)</f>
        <v>0.7017355769230742</v>
      </c>
      <c r="AQ266" s="25">
        <f t="shared" ref="AQ266" si="1436">LN(M266/L266)</f>
        <v>3.1173458279604968E-4</v>
      </c>
      <c r="AR266" s="25">
        <f t="shared" ref="AR266" si="1437">LN(N266/L266)</f>
        <v>-1.0631729389441744E-3</v>
      </c>
      <c r="AS266" s="25">
        <f t="shared" ref="AS266" si="1438">LN(N266/C266)</f>
        <v>-3.06866248478366E-3</v>
      </c>
      <c r="AT266" s="28">
        <f t="shared" ref="AT266" si="1439">+(G266-I266)/(H266-I266)</f>
        <v>4.5192307692310911E-2</v>
      </c>
      <c r="AU266" s="28">
        <f t="shared" ref="AU266" si="1440">+(N266-P266)/(O266-P266)</f>
        <v>0.28928800513148512</v>
      </c>
      <c r="AV266" s="40">
        <f t="shared" ref="AV266" si="1441">+(N266-V266)/(U266-V266)</f>
        <v>0.15241635687731703</v>
      </c>
      <c r="AW266" s="25">
        <f t="shared" ref="AW266" si="1442">LN(N266/C266)</f>
        <v>-3.06866248478366E-3</v>
      </c>
      <c r="AX266" s="28">
        <f t="shared" ref="AX266" si="1443">(N266-L266)/(U266-V266)</f>
        <v>-0.11287597161203719</v>
      </c>
      <c r="AY266" s="25">
        <f t="shared" ref="AY266" si="1444">LN(G266/I266)</f>
        <v>2.9892324255389134E-4</v>
      </c>
      <c r="AZ266" s="25">
        <f t="shared" ref="AZ266" si="1445">LN(N266/P266)</f>
        <v>1.4373977612019005E-3</v>
      </c>
      <c r="BA266" s="25">
        <f t="shared" ref="BA266" si="1446">AV265</f>
        <v>0.64863000653724612</v>
      </c>
      <c r="BB266" s="25">
        <f t="shared" ref="BB266" si="1447">AR265</f>
        <v>1.9946140453148456E-3</v>
      </c>
      <c r="BC266" s="25">
        <f t="shared" ref="BC266" si="1448">AS265</f>
        <v>3.5814953999589415E-3</v>
      </c>
      <c r="BD266" s="39">
        <f t="shared" ref="BD266" si="1449">IF(AR265&lt;0,1,0)</f>
        <v>0</v>
      </c>
      <c r="BE266" t="str">
        <f t="shared" ref="BE266" si="1450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51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52">IF(B266=3,IF(AV265&lt;0.85,IF(AND(K266&gt;942,AT266&gt;0.9),0.25,1)*IF(AR265&lt;-0.004,1,0.5),0),"")</f>
        <v/>
      </c>
      <c r="BH266" t="str">
        <f t="shared" ref="BH266" si="1453">IF(B266=4,IF(AV265&lt;0.6,IF(AQ266&gt;=0,IF(K266&lt;1018,2,1),0),IF(AV265&gt;0.85,IF(AQ266&lt;=0,-0.5,0),0)),"")</f>
        <v/>
      </c>
      <c r="BI266" t="str">
        <f t="shared" ref="BI266" si="1454">IF(B266=5,IF(AV265&lt;0.4,IF(AQ266&gt; -0.004,1,0),IF(AV265&lt;0.95,IF(AND(AO266&lt;0.85,AT266&lt;0.95,AQ266&gt;0,K266&lt;1115),0.5,0),0)),"")</f>
        <v/>
      </c>
      <c r="BJ266" s="25" t="str">
        <f t="shared" ref="BJ266" si="1455">IF(MAX(BE266:BI266)=0,"",MAX(BE266:BI266)*AR266)</f>
        <v/>
      </c>
    </row>
    <row r="267" spans="1:62">
      <c r="A267" s="1">
        <v>42899</v>
      </c>
      <c r="B267" s="41">
        <f t="shared" si="24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52"/>
        <v>3105.0798950000003</v>
      </c>
      <c r="T267" t="str">
        <f t="shared" ref="T267" si="1456">IF(AVERAGE(N266)&lt;S266,"熊",IF(AVERAGE(N266)&gt;S266,"牛",""))</f>
        <v>牛</v>
      </c>
      <c r="U267">
        <f t="shared" ref="U267" si="1457">MAX(H267,O267)</f>
        <v>3155.74</v>
      </c>
      <c r="V267">
        <f t="shared" ref="V267" si="1458">MIN(I267,P267)</f>
        <v>3131.06</v>
      </c>
      <c r="W267" s="40">
        <f t="shared" ref="W267" si="1459">LN(U267/V267)</f>
        <v>7.8514114596904567E-3</v>
      </c>
      <c r="X267">
        <f t="shared" ref="X267" si="1460">IF(U267=H267,J267,Q267)</f>
        <v>1408</v>
      </c>
      <c r="Y267">
        <f t="shared" ref="Y267" si="1461">IF(V267=I267,K267,R267)</f>
        <v>948</v>
      </c>
      <c r="Z267" s="25">
        <f t="shared" ref="Z267" si="1462">(U267-V267)/(C267)</f>
        <v>7.8749202297383018E-3</v>
      </c>
      <c r="AA267" s="25">
        <f t="shared" ref="AA267" si="1463">LN(C267/N266)</f>
        <v>-1.8712538553911184E-3</v>
      </c>
      <c r="AB267" s="25">
        <f t="shared" ref="AB267" si="1464">LN(N267/U267)</f>
        <v>-6.3396668726604011E-4</v>
      </c>
      <c r="AC267" s="25">
        <f t="shared" ref="AC267" si="1465">LN(N267/V267)</f>
        <v>7.2174447724244941E-3</v>
      </c>
      <c r="AD267" s="25">
        <f t="shared" ref="AD267" si="1466">LN(U267/C267)</f>
        <v>6.9128728931612815E-3</v>
      </c>
      <c r="AE267" s="25">
        <f t="shared" ref="AE267" si="1467">LN(V267/C267)</f>
        <v>-9.3853856652908617E-4</v>
      </c>
      <c r="AF267" s="25">
        <f t="shared" ref="AF267" si="1468">LN(N267/C267)</f>
        <v>6.2789062058952296E-3</v>
      </c>
      <c r="AG267" s="25">
        <f t="shared" ref="AG267" si="1469">LN(N267/N266)</f>
        <v>4.4076523505042677E-3</v>
      </c>
      <c r="AH267" s="25">
        <f t="shared" ref="AH267" si="1470">LN(D267/C267)</f>
        <v>1.1167213074059847E-4</v>
      </c>
      <c r="AI267" s="25">
        <f t="shared" ref="AI267" si="1471">LN(E267/C267)</f>
        <v>1.527231401347977E-3</v>
      </c>
      <c r="AJ267" s="25">
        <f t="shared" ref="AJ267" si="1472">LN(F267/C267)</f>
        <v>1.0428510640919863E-3</v>
      </c>
      <c r="AK267" s="25">
        <f t="shared" ref="AK267" si="1473">+LN(G267/C267)</f>
        <v>5.3049846993107911E-3</v>
      </c>
      <c r="AL267" s="25">
        <f t="shared" ref="AL267" si="1474">LN(H267/I267)</f>
        <v>6.5037515065151036E-3</v>
      </c>
      <c r="AM267" s="25">
        <f t="shared" ref="AM267" si="1475">LN(O267/P267)</f>
        <v>3.2247239639799901E-3</v>
      </c>
      <c r="AN267" s="25">
        <f t="shared" ref="AN267" si="1476">LN(L267/G267)</f>
        <v>9.4221261953223595E-4</v>
      </c>
      <c r="AO267" s="40">
        <f t="shared" ref="AO267" si="1477">(C267-I267)/(H267-I267)</f>
        <v>0.14390602055800675</v>
      </c>
      <c r="AP267" s="40">
        <f t="shared" ref="AP267" si="1478">(N266-I267)/(H267-I267)</f>
        <v>0.4312285854136082</v>
      </c>
      <c r="AQ267" s="25">
        <f t="shared" ref="AQ267" si="1479">LN(M267/L267)</f>
        <v>-1.0120414753830988E-3</v>
      </c>
      <c r="AR267" s="25">
        <f t="shared" ref="AR267" si="1480">LN(N267/L267)</f>
        <v>3.170888705251164E-5</v>
      </c>
      <c r="AS267" s="25">
        <f t="shared" ref="AS267" si="1481">LN(N267/C267)</f>
        <v>6.2789062058952296E-3</v>
      </c>
      <c r="AT267" s="28">
        <f t="shared" ref="AT267" si="1482">+(G267-I267)/(H267-I267)</f>
        <v>0.95986294664710159</v>
      </c>
      <c r="AU267" s="28">
        <f t="shared" ref="AU267" si="1483">+(N267-P267)/(O267-P267)</f>
        <v>0.80314960629920973</v>
      </c>
      <c r="AV267" s="40">
        <f t="shared" ref="AV267" si="1484">+(N267-V267)/(U267-V267)</f>
        <v>0.91896272285251157</v>
      </c>
      <c r="AW267" s="25">
        <f t="shared" ref="AW267" si="1485">LN(N267/C267)</f>
        <v>6.2789062058952296E-3</v>
      </c>
      <c r="AX267" s="28">
        <f t="shared" ref="AX267" si="1486">(N267-L267)/(U267-V267)</f>
        <v>4.0518638573707336E-3</v>
      </c>
      <c r="AY267" s="25">
        <f t="shared" ref="AY267" si="1487">LN(G267/I267)</f>
        <v>6.2435232658397235E-3</v>
      </c>
      <c r="AZ267" s="25">
        <f t="shared" ref="AZ267" si="1488">LN(N267/P267)</f>
        <v>2.5907572767141437E-3</v>
      </c>
      <c r="BA267" s="25">
        <f t="shared" ref="BA267" si="1489">AV266</f>
        <v>0.15241635687731703</v>
      </c>
      <c r="BB267" s="25">
        <f t="shared" ref="BB267" si="1490">AR266</f>
        <v>-1.0631729389441744E-3</v>
      </c>
      <c r="BC267" s="25">
        <f t="shared" ref="BC267" si="1491">AS266</f>
        <v>-3.06866248478366E-3</v>
      </c>
      <c r="BD267" s="39">
        <f t="shared" ref="BD267" si="1492">IF(AR266&lt;0,1,0)</f>
        <v>1</v>
      </c>
      <c r="BE267">
        <f t="shared" ref="BE267" si="1493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494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495">IF(B267=3,IF(AV266&lt;0.85,IF(AND(K267&gt;942,AT267&gt;0.9),0.25,1)*IF(AR266&lt;-0.004,1,0.5),0),"")</f>
        <v/>
      </c>
      <c r="BH267" t="str">
        <f t="shared" ref="BH267" si="1496">IF(B267=4,IF(AV266&lt;0.6,IF(AQ267&gt;=0,IF(K267&lt;1018,2,1),0),IF(AV266&gt;0.85,IF(AQ267&lt;=0,-0.5,0),0)),"")</f>
        <v/>
      </c>
      <c r="BI267" t="str">
        <f t="shared" ref="BI267" si="1497">IF(B267=5,IF(AV266&lt;0.4,IF(AQ267&gt; -0.004,1,0),IF(AV266&lt;0.95,IF(AND(AO267&lt;0.85,AT267&lt;0.95,AQ267&gt;0,K267&lt;1115),0.5,0),0)),"")</f>
        <v/>
      </c>
      <c r="BJ267" s="25">
        <f t="shared" ref="BJ267" si="1498">IF(MAX(BE267:BI267)=0,"",MAX(BE267:BI267)*AR267)</f>
        <v>3.170888705251164E-5</v>
      </c>
    </row>
    <row r="268" spans="1:62">
      <c r="A268" s="1">
        <v>42900</v>
      </c>
      <c r="B268" s="41">
        <f t="shared" si="24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52"/>
        <v>3108.622895</v>
      </c>
      <c r="T268" t="str">
        <f t="shared" ref="T268" si="1499">IF(AVERAGE(N267)&lt;S267,"熊",IF(AVERAGE(N267)&gt;S267,"牛",""))</f>
        <v>牛</v>
      </c>
      <c r="U268">
        <f t="shared" ref="U268" si="1500">MAX(H268,O268)</f>
        <v>3149.1473000000001</v>
      </c>
      <c r="V268">
        <f t="shared" ref="V268" si="1501">MIN(I268,P268)</f>
        <v>3125.3546000000001</v>
      </c>
      <c r="W268" s="40">
        <f t="shared" ref="W268" si="1502">LN(U268/V268)</f>
        <v>7.5839690285101242E-3</v>
      </c>
      <c r="X268">
        <f t="shared" ref="X268" si="1503">IF(U268=H268,J268,Q268)</f>
        <v>942</v>
      </c>
      <c r="Y268">
        <f t="shared" ref="Y268" si="1504">IF(V268=I268,K268,R268)</f>
        <v>1420</v>
      </c>
      <c r="Z268" s="25">
        <f t="shared" ref="Z268" si="1505">(U268-V268)/(C268)</f>
        <v>7.5610439730159412E-3</v>
      </c>
      <c r="AA268" s="25">
        <f t="shared" ref="AA268" si="1506">LN(C268/N267)</f>
        <v>-2.2195115268373779E-3</v>
      </c>
      <c r="AB268" s="25">
        <f t="shared" ref="AB268" si="1507">LN(N268/U268)</f>
        <v>-5.957349417769992E-3</v>
      </c>
      <c r="AC268" s="25">
        <f t="shared" ref="AC268" si="1508">LN(N268/V268)</f>
        <v>1.6266196107401058E-3</v>
      </c>
      <c r="AD268" s="25">
        <f t="shared" ref="AD268" si="1509">LN(U268/C268)</f>
        <v>7.6217916652756537E-4</v>
      </c>
      <c r="AE268" s="25">
        <f t="shared" ref="AE268" si="1510">LN(V268/C268)</f>
        <v>-6.8217898619825868E-3</v>
      </c>
      <c r="AF268" s="25">
        <f t="shared" ref="AF268" si="1511">LN(N268/C268)</f>
        <v>-5.1951702512423887E-3</v>
      </c>
      <c r="AG268" s="25">
        <f t="shared" ref="AG268" si="1512">LN(N268/N267)</f>
        <v>-7.4146817780797927E-3</v>
      </c>
      <c r="AH268" s="25">
        <f t="shared" ref="AH268" si="1513">LN(D268/C268)</f>
        <v>-3.480706421792492E-4</v>
      </c>
      <c r="AI268" s="25">
        <f t="shared" ref="AI268" si="1514">LN(E268/C268)</f>
        <v>-5.4823990287101423E-4</v>
      </c>
      <c r="AJ268" s="25">
        <f t="shared" ref="AJ268" si="1515">LN(F268/C268)</f>
        <v>5.7153796572550835E-4</v>
      </c>
      <c r="AK268" s="25">
        <f t="shared" ref="AK268" si="1516">+LN(G268/C268)</f>
        <v>-3.639189423091025E-3</v>
      </c>
      <c r="AL268" s="25">
        <f t="shared" ref="AL268" si="1517">LN(H268/I268)</f>
        <v>4.7692459230750817E-3</v>
      </c>
      <c r="AM268" s="25">
        <f t="shared" ref="AM268" si="1518">LN(O268/P268)</f>
        <v>3.3877579946656527E-3</v>
      </c>
      <c r="AN268" s="25">
        <f t="shared" ref="AN268" si="1519">LN(L268/G268)</f>
        <v>0</v>
      </c>
      <c r="AO268" s="40">
        <f t="shared" ref="AO268" si="1520">(C268-I268)/(H268-I268)</f>
        <v>0.83986838680397113</v>
      </c>
      <c r="AP268" s="40">
        <f t="shared" ref="AP268" si="1521">(N267-I268)/(H268-I268)</f>
        <v>1.3065212603364902</v>
      </c>
      <c r="AQ268" s="25">
        <f t="shared" ref="AQ268" si="1522">LN(M268/L268)</f>
        <v>-7.7613968436782707E-4</v>
      </c>
      <c r="AR268" s="25">
        <f t="shared" ref="AR268" si="1523">LN(N268/L268)</f>
        <v>-1.555980828151255E-3</v>
      </c>
      <c r="AS268" s="25">
        <f t="shared" ref="AS268" si="1524">LN(N268/C268)</f>
        <v>-5.1951702512423887E-3</v>
      </c>
      <c r="AT268" s="28">
        <f t="shared" ref="AT268" si="1525">+(G268-I268)/(H268-I268)</f>
        <v>7.6965688466476168E-2</v>
      </c>
      <c r="AU268" s="28">
        <f t="shared" ref="AU268" si="1526">+(N268-P268)/(O268-P268)</f>
        <v>0.47972355009947115</v>
      </c>
      <c r="AV268" s="40">
        <f t="shared" ref="AV268" si="1527">+(N268-V268)/(U268-V268)</f>
        <v>0.21384290139412498</v>
      </c>
      <c r="AW268" s="25">
        <f t="shared" ref="AW268" si="1528">LN(N268/C268)</f>
        <v>-5.1951702512423887E-3</v>
      </c>
      <c r="AX268" s="28">
        <f t="shared" ref="AX268" si="1529">(N268-L268)/(U268-V268)</f>
        <v>-0.20488216974113296</v>
      </c>
      <c r="AY268" s="25">
        <f t="shared" ref="AY268" si="1530">LN(G268/I268)</f>
        <v>3.6787733345643918E-4</v>
      </c>
      <c r="AZ268" s="25">
        <f t="shared" ref="AZ268" si="1531">LN(N268/P268)</f>
        <v>1.6266196107401058E-3</v>
      </c>
      <c r="BA268" s="25">
        <f t="shared" ref="BA268" si="1532">AV267</f>
        <v>0.91896272285251157</v>
      </c>
      <c r="BB268" s="25">
        <f t="shared" ref="BB268" si="1533">AR267</f>
        <v>3.170888705251164E-5</v>
      </c>
      <c r="BC268" s="25">
        <f t="shared" ref="BC268" si="1534">AS267</f>
        <v>6.2789062058952296E-3</v>
      </c>
      <c r="BD268" s="39">
        <f t="shared" ref="BD268" si="1535">IF(AR267&lt;0,1,0)</f>
        <v>0</v>
      </c>
      <c r="BE268" t="str">
        <f t="shared" ref="BE268" si="1536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37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38">IF(B268=3,IF(AV267&lt;0.85,IF(AND(K268&gt;942,AT268&gt;0.9),0.25,1)*IF(AR267&lt;-0.004,1,0.5),0),"")</f>
        <v>0</v>
      </c>
      <c r="BH268" t="str">
        <f t="shared" ref="BH268" si="1539">IF(B268=4,IF(AV267&lt;0.6,IF(AQ268&gt;=0,IF(K268&lt;1018,2,1),0),IF(AV267&gt;0.85,IF(AQ268&lt;=0,-0.5,0),0)),"")</f>
        <v/>
      </c>
      <c r="BI268" t="str">
        <f t="shared" ref="BI268" si="1540">IF(B268=5,IF(AV267&lt;0.4,IF(AQ268&gt; -0.004,1,0),IF(AV267&lt;0.95,IF(AND(AO268&lt;0.85,AT268&lt;0.95,AQ268&gt;0,K268&lt;1115),0.5,0),0)),"")</f>
        <v/>
      </c>
      <c r="BJ268" s="25" t="str">
        <f t="shared" ref="BJ268" si="1541">IF(MAX(BE268:BI268)=0,"",MAX(BE268:BI268)*AR268)</f>
        <v/>
      </c>
    </row>
    <row r="269" spans="1:62">
      <c r="A269" s="1">
        <v>42901</v>
      </c>
      <c r="B269" s="41">
        <f t="shared" si="24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52"/>
        <v>3110.5946400000003</v>
      </c>
      <c r="T269" t="str">
        <f t="shared" ref="T269" si="1542">IF(AVERAGE(N268)&lt;S268,"熊",IF(AVERAGE(N268)&gt;S268,"牛",""))</f>
        <v>牛</v>
      </c>
      <c r="U269">
        <f t="shared" ref="U269" si="1543">MAX(H269,O269)</f>
        <v>3137.58</v>
      </c>
      <c r="V269">
        <f t="shared" ref="V269" si="1544">MIN(I269,P269)</f>
        <v>3117.27</v>
      </c>
      <c r="W269" s="40">
        <f t="shared" ref="W269" si="1545">LN(U269/V269)</f>
        <v>6.4941833553647538E-3</v>
      </c>
      <c r="X269">
        <f t="shared" ref="X269" si="1546">IF(U269=H269,J269,Q269)</f>
        <v>942</v>
      </c>
      <c r="Y269">
        <f t="shared" ref="Y269" si="1547">IF(V269=I269,K269,R269)</f>
        <v>1018</v>
      </c>
      <c r="Z269" s="25">
        <f t="shared" ref="Z269" si="1548">(U269-V269)/(C269)</f>
        <v>6.49799397231872E-3</v>
      </c>
      <c r="AA269" s="25">
        <f t="shared" ref="AA269" si="1549">LN(C269/N268)</f>
        <v>-1.5545023948290361E-3</v>
      </c>
      <c r="AB269" s="25">
        <f t="shared" ref="AB269" si="1550">LN(N269/U269)</f>
        <v>-1.6267790498732237E-3</v>
      </c>
      <c r="AC269" s="25">
        <f t="shared" ref="AC269" si="1551">LN(N269/V269)</f>
        <v>4.8674043054915067E-3</v>
      </c>
      <c r="AD269" s="25">
        <f t="shared" ref="AD269" si="1552">LN(U269/C269)</f>
        <v>3.8319361739860844E-3</v>
      </c>
      <c r="AE269" s="25">
        <f t="shared" ref="AE269" si="1553">LN(V269/C269)</f>
        <v>-2.6622471813786126E-3</v>
      </c>
      <c r="AF269" s="25">
        <f t="shared" ref="AF269" si="1554">LN(N269/C269)</f>
        <v>2.2051571241128456E-3</v>
      </c>
      <c r="AG269" s="25">
        <f t="shared" ref="AG269" si="1555">LN(N269/N268)</f>
        <v>6.5065472928387338E-4</v>
      </c>
      <c r="AH269" s="25">
        <f t="shared" ref="AH269" si="1556">LN(D269/C269)</f>
        <v>7.6116891070020091E-4</v>
      </c>
      <c r="AI269" s="25">
        <f t="shared" ref="AI269" si="1557">LN(E269/C269)</f>
        <v>2.4860452431155976E-3</v>
      </c>
      <c r="AJ269" s="25">
        <f t="shared" ref="AJ269" si="1558">LN(F269/C269)</f>
        <v>3.5450497503527103E-3</v>
      </c>
      <c r="AK269" s="25">
        <f t="shared" ref="AK269" si="1559">+LN(G269/C269)</f>
        <v>3.4867448072079286E-4</v>
      </c>
      <c r="AL269" s="25">
        <f t="shared" ref="AL269" si="1560">LN(H269/I269)</f>
        <v>6.4941833553647538E-3</v>
      </c>
      <c r="AM269" s="25">
        <f t="shared" ref="AM269" si="1561">LN(O269/P269)</f>
        <v>3.3155236985245471E-3</v>
      </c>
      <c r="AN269" s="25">
        <f t="shared" ref="AN269" si="1562">LN(L269/G269)</f>
        <v>3.5175012034388488E-4</v>
      </c>
      <c r="AO269" s="40">
        <f t="shared" ref="AO269" si="1563">(C269-I269)/(H269-I269)</f>
        <v>0.40915805022156415</v>
      </c>
      <c r="AP269" s="40">
        <f t="shared" ref="AP269" si="1564">(N268-I269)/(H269-I269)</f>
        <v>0.64857213195471008</v>
      </c>
      <c r="AQ269" s="25">
        <f t="shared" ref="AQ269" si="1565">LN(M269/L269)</f>
        <v>6.2005793455399325E-4</v>
      </c>
      <c r="AR269" s="25">
        <f t="shared" ref="AR269" si="1566">LN(N269/L269)</f>
        <v>1.5047325230482147E-3</v>
      </c>
      <c r="AS269" s="25">
        <f t="shared" ref="AS269" si="1567">LN(N269/C269)</f>
        <v>2.2051571241128456E-3</v>
      </c>
      <c r="AT269" s="28">
        <f t="shared" ref="AT269" si="1568">+(G269-I269)/(H269-I269)</f>
        <v>0.46282619399311259</v>
      </c>
      <c r="AU269" s="28">
        <f t="shared" ref="AU269" si="1569">+(N269-P269)/(O269-P269)</f>
        <v>0.66859344894026795</v>
      </c>
      <c r="AV269" s="40">
        <f t="shared" ref="AV269" si="1570">+(N269-V269)/(U269-V269)</f>
        <v>0.74889217134416919</v>
      </c>
      <c r="AW269" s="25">
        <f t="shared" ref="AW269" si="1571">LN(N269/C269)</f>
        <v>2.2051571241128456E-3</v>
      </c>
      <c r="AX269" s="28">
        <f t="shared" ref="AX269" si="1572">(N269-L269)/(U269-V269)</f>
        <v>0.23190546528803788</v>
      </c>
      <c r="AY269" s="25">
        <f t="shared" ref="AY269" si="1573">LN(G269/I269)</f>
        <v>3.0109216620994449E-3</v>
      </c>
      <c r="AZ269" s="25">
        <f t="shared" ref="AZ269" si="1574">LN(N269/P269)</f>
        <v>2.2179548307640195E-3</v>
      </c>
      <c r="BA269" s="25">
        <f t="shared" ref="BA269" si="1575">AV268</f>
        <v>0.21384290139412498</v>
      </c>
      <c r="BB269" s="25">
        <f t="shared" ref="BB269" si="1576">AR268</f>
        <v>-1.555980828151255E-3</v>
      </c>
      <c r="BC269" s="25">
        <f t="shared" ref="BC269" si="1577">AS268</f>
        <v>-5.1951702512423887E-3</v>
      </c>
      <c r="BD269" s="39">
        <f t="shared" ref="BD269" si="1578">IF(AR268&lt;0,1,0)</f>
        <v>1</v>
      </c>
      <c r="BE269" t="str">
        <f t="shared" ref="BE269" si="1579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580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581">IF(B269=3,IF(AV268&lt;0.85,IF(AND(K269&gt;942,AT269&gt;0.9),0.25,1)*IF(AR268&lt;-0.004,1,0.5),0),"")</f>
        <v/>
      </c>
      <c r="BH269">
        <f t="shared" ref="BH269" si="1582">IF(B269=4,IF(AV268&lt;0.6,IF(AQ269&gt;=0,IF(K269&lt;1018,2,1),0),IF(AV268&gt;0.85,IF(AQ269&lt;=0,-0.5,0),0)),"")</f>
        <v>1</v>
      </c>
      <c r="BI269" t="str">
        <f t="shared" ref="BI269" si="1583">IF(B269=5,IF(AV268&lt;0.4,IF(AQ269&gt; -0.004,1,0),IF(AV268&lt;0.95,IF(AND(AO269&lt;0.85,AT269&lt;0.95,AQ269&gt;0,K269&lt;1115),0.5,0),0)),"")</f>
        <v/>
      </c>
      <c r="BJ269" s="25">
        <f t="shared" ref="BJ269" si="1584">IF(MAX(BE269:BI269)=0,"",MAX(BE269:BI269)*AR269)</f>
        <v>1.5047325230482147E-3</v>
      </c>
    </row>
    <row r="270" spans="1:62">
      <c r="A270" s="1">
        <v>42902</v>
      </c>
      <c r="B270" s="41">
        <f t="shared" si="24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52"/>
        <v>3111.5438650000001</v>
      </c>
      <c r="T270" t="str">
        <f t="shared" ref="T270" si="1585">IF(AVERAGE(N269)&lt;S269,"熊",IF(AVERAGE(N269)&gt;S269,"牛",""))</f>
        <v>牛</v>
      </c>
      <c r="U270">
        <f t="shared" ref="U270" si="1586">MAX(H270,O270)</f>
        <v>3134.09</v>
      </c>
      <c r="V270">
        <f t="shared" ref="V270" si="1587">MIN(I270,P270)</f>
        <v>3118.31</v>
      </c>
      <c r="W270" s="40">
        <f t="shared" ref="W270" si="1588">LN(U270/V270)</f>
        <v>5.0476724153498504E-3</v>
      </c>
      <c r="X270">
        <f t="shared" ref="X270" si="1589">IF(U270=H270,J270,Q270)</f>
        <v>947</v>
      </c>
      <c r="Y270">
        <f t="shared" ref="Y270" si="1590">IF(V270=I270,K270,R270)</f>
        <v>1454</v>
      </c>
      <c r="Z270" s="25">
        <f t="shared" ref="Z270" si="1591">(U270-V270)/(C270)</f>
        <v>5.0473872254404315E-3</v>
      </c>
      <c r="AA270" s="25">
        <f t="shared" ref="AA270" si="1592">LN(C270/N269)</f>
        <v>-1.9524359717669011E-3</v>
      </c>
      <c r="AB270" s="25">
        <f t="shared" ref="AB270" si="1593">LN(N270/U270)</f>
        <v>-3.4935510381162915E-3</v>
      </c>
      <c r="AC270" s="25">
        <f t="shared" ref="AC270" si="1594">LN(N270/V270)</f>
        <v>1.554121377233621E-3</v>
      </c>
      <c r="AD270" s="25">
        <f t="shared" ref="AD270" si="1595">LN(U270/C270)</f>
        <v>2.4662736965265675E-3</v>
      </c>
      <c r="AE270" s="25">
        <f t="shared" ref="AE270" si="1596">LN(V270/C270)</f>
        <v>-2.5813987188231689E-3</v>
      </c>
      <c r="AF270" s="25">
        <f t="shared" ref="AF270" si="1597">LN(N270/C270)</f>
        <v>-1.0272773415896989E-3</v>
      </c>
      <c r="AG270" s="25">
        <f t="shared" ref="AG270" si="1598">LN(N270/N269)</f>
        <v>-2.9797133133565605E-3</v>
      </c>
      <c r="AH270" s="25">
        <f t="shared" ref="AH270" si="1599">LN(D270/C270)</f>
        <v>6.7168296589233822E-5</v>
      </c>
      <c r="AI270" s="25">
        <f t="shared" ref="AI270" si="1600">LN(E270/C270)</f>
        <v>6.9385493542169967E-4</v>
      </c>
      <c r="AJ270" s="25">
        <f t="shared" ref="AJ270" si="1601">LN(F270/C270)</f>
        <v>1.4351400765655192E-3</v>
      </c>
      <c r="AK270" s="25">
        <f t="shared" ref="AK270" si="1602">+LN(G270/C270)</f>
        <v>-5.0230597888413909E-4</v>
      </c>
      <c r="AL270" s="25">
        <f t="shared" ref="AL270" si="1603">LN(H270/I270)</f>
        <v>3.6888851160479558E-3</v>
      </c>
      <c r="AM270" s="25">
        <f t="shared" ref="AM270" si="1604">LN(O270/P270)</f>
        <v>3.1473903144082658E-3</v>
      </c>
      <c r="AN270" s="25">
        <f t="shared" ref="AN270" si="1605">LN(L270/G270)</f>
        <v>-1.8562910717713317E-4</v>
      </c>
      <c r="AO270" s="40">
        <f t="shared" ref="AO270" si="1606">(C270-I270)/(H270-I270)</f>
        <v>0.33102253032926526</v>
      </c>
      <c r="AP270" s="40">
        <f t="shared" ref="AP270" si="1607">(N269-I270)/(H270-I270)</f>
        <v>0.86048526863083774</v>
      </c>
      <c r="AQ270" s="25">
        <f t="shared" ref="AQ270" si="1608">LN(M270/L270)</f>
        <v>-1.6004122662290428E-5</v>
      </c>
      <c r="AR270" s="25">
        <f t="shared" ref="AR270" si="1609">LN(N270/L270)</f>
        <v>-3.3934225552854284E-4</v>
      </c>
      <c r="AS270" s="25">
        <f t="shared" ref="AS270" si="1610">LN(N270/C270)</f>
        <v>-1.0272773415896989E-3</v>
      </c>
      <c r="AT270" s="28">
        <f t="shared" ref="AT270" si="1611">+(G270-I270)/(H270-I270)</f>
        <v>0.19497400346620511</v>
      </c>
      <c r="AU270" s="28">
        <f t="shared" ref="AU270" si="1612">+(N270-P270)/(O270-P270)</f>
        <v>0.49338758901321922</v>
      </c>
      <c r="AV270" s="40">
        <f t="shared" ref="AV270" si="1613">+(N270-V270)/(U270-V270)</f>
        <v>0.30735107731304484</v>
      </c>
      <c r="AW270" s="25">
        <f t="shared" ref="AW270" si="1614">LN(N270/C270)</f>
        <v>-1.0272773415896989E-3</v>
      </c>
      <c r="AX270" s="28">
        <f t="shared" ref="AX270" si="1615">(N270-L270)/(U270-V270)</f>
        <v>-6.7173637515838533E-2</v>
      </c>
      <c r="AY270" s="25">
        <f t="shared" ref="AY270" si="1616">LN(G270/I270)</f>
        <v>7.2030544063729702E-4</v>
      </c>
      <c r="AZ270" s="25">
        <f t="shared" ref="AZ270" si="1617">LN(N270/P270)</f>
        <v>1.554121377233621E-3</v>
      </c>
      <c r="BA270" s="25">
        <f t="shared" ref="BA270" si="1618">AV269</f>
        <v>0.74889217134416919</v>
      </c>
      <c r="BB270" s="25">
        <f t="shared" ref="BB270" si="1619">AR269</f>
        <v>1.5047325230482147E-3</v>
      </c>
      <c r="BC270" s="25">
        <f t="shared" ref="BC270" si="1620">AS269</f>
        <v>2.2051571241128456E-3</v>
      </c>
      <c r="BD270" s="39">
        <f t="shared" ref="BD270" si="1621">IF(AR269&lt;0,1,0)</f>
        <v>0</v>
      </c>
      <c r="BE270" t="str">
        <f t="shared" ref="BE270" si="1622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23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24">IF(B270=3,IF(AV269&lt;0.85,IF(AND(K270&gt;942,AT270&gt;0.9),0.25,1)*IF(AR269&lt;-0.004,1,0.5),0),"")</f>
        <v/>
      </c>
      <c r="BH270" t="str">
        <f t="shared" ref="BH270" si="1625">IF(B270=4,IF(AV269&lt;0.6,IF(AQ270&gt;=0,IF(K270&lt;1018,2,1),0),IF(AV269&gt;0.85,IF(AQ270&lt;=0,-0.5,0),0)),"")</f>
        <v/>
      </c>
      <c r="BI270">
        <f t="shared" ref="BI270" si="1626">IF(B270=5,IF(AV269&lt;0.4,IF(AQ270&gt; -0.004,1,0),IF(AV269&lt;0.95,IF(AND(AO270&lt;0.85,AT270&lt;0.95,AQ270&gt;0,K270&lt;1115),0.5,0),0)),"")</f>
        <v>0</v>
      </c>
      <c r="BJ270" s="25" t="str">
        <f t="shared" ref="BJ270" si="1627">IF(MAX(BE270:BI270)=0,"",MAX(BE270:BI270)*AR270)</f>
        <v/>
      </c>
    </row>
    <row r="271" spans="1:62">
      <c r="A271" s="1">
        <v>42905</v>
      </c>
      <c r="B271" s="41">
        <f t="shared" si="24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52"/>
        <v>3112.4647300000006</v>
      </c>
      <c r="T271" t="str">
        <f t="shared" ref="T271" si="1628">IF(AVERAGE(N270)&lt;S270,"熊",IF(AVERAGE(N270)&gt;S270,"牛",""))</f>
        <v>牛</v>
      </c>
      <c r="U271">
        <f t="shared" ref="U271" si="1629">MAX(H271,O271)</f>
        <v>3146.7219</v>
      </c>
      <c r="V271">
        <f t="shared" ref="V271" si="1630">MIN(I271,P271)</f>
        <v>3121.7786999999998</v>
      </c>
      <c r="W271" s="40">
        <f t="shared" ref="W271" si="1631">LN(U271/V271)</f>
        <v>7.9583087691890847E-3</v>
      </c>
      <c r="X271">
        <f t="shared" ref="X271" si="1632">IF(U271=H271,J271,Q271)</f>
        <v>1311</v>
      </c>
      <c r="Y271">
        <f t="shared" ref="Y271" si="1633">IF(V271=I271,K271,R271)</f>
        <v>930</v>
      </c>
      <c r="Z271" s="25">
        <f t="shared" ref="Z271" si="1634">(U271-V271)/(C271)</f>
        <v>7.9890901094109221E-3</v>
      </c>
      <c r="AA271" s="25">
        <f t="shared" ref="AA271" si="1635">LN(C271/N270)</f>
        <v>-3.2094443892112046E-4</v>
      </c>
      <c r="AB271" s="25">
        <f t="shared" ref="AB271" si="1636">LN(N271/U271)</f>
        <v>-5.4185336916273696E-4</v>
      </c>
      <c r="AC271" s="25">
        <f t="shared" ref="AC271" si="1637">LN(N271/V271)</f>
        <v>7.4164554000264744E-3</v>
      </c>
      <c r="AD271" s="25">
        <f t="shared" ref="AD271" si="1638">LN(U271/C271)</f>
        <v>7.836878962699129E-3</v>
      </c>
      <c r="AE271" s="25">
        <f t="shared" ref="AE271" si="1639">LN(V271/C271)</f>
        <v>-1.2142980649020979E-4</v>
      </c>
      <c r="AF271" s="25">
        <f t="shared" ref="AF271" si="1640">LN(N271/C271)</f>
        <v>7.2950255935363825E-3</v>
      </c>
      <c r="AG271" s="25">
        <f t="shared" ref="AG271" si="1641">LN(N271/N270)</f>
        <v>6.9740811546152364E-3</v>
      </c>
      <c r="AH271" s="25">
        <f t="shared" ref="AH271" si="1642">LN(D271/C271)</f>
        <v>8.851815437741214E-4</v>
      </c>
      <c r="AI271" s="25">
        <f t="shared" ref="AI271" si="1643">LN(E271/C271)</f>
        <v>1.8792927867930436E-4</v>
      </c>
      <c r="AJ271" s="25">
        <f t="shared" ref="AJ271" si="1644">LN(F271/C271)</f>
        <v>2.1759309316679181E-3</v>
      </c>
      <c r="AK271" s="25">
        <f t="shared" ref="AK271" si="1645">+LN(G271/C271)</f>
        <v>6.8985421896892865E-3</v>
      </c>
      <c r="AL271" s="25">
        <f t="shared" ref="AL271" si="1646">LN(H271/I271)</f>
        <v>7.1048028321087199E-3</v>
      </c>
      <c r="AM271" s="25">
        <f t="shared" ref="AM271" si="1647">LN(O271/P271)</f>
        <v>3.8313414913832781E-3</v>
      </c>
      <c r="AN271" s="25">
        <f t="shared" ref="AN271" si="1648">LN(L271/G271)</f>
        <v>0</v>
      </c>
      <c r="AO271" s="40">
        <f t="shared" ref="AO271" si="1649">(C271-I271)/(H271-I271)</f>
        <v>1.7031619239310007E-2</v>
      </c>
      <c r="AP271" s="40">
        <f t="shared" ref="AP271" si="1650">(N270-I271)/(H271-I271)</f>
        <v>6.2056912833691386E-2</v>
      </c>
      <c r="AQ271" s="25">
        <f t="shared" ref="AQ271" si="1651">LN(M271/L271)</f>
        <v>5.9382373562911019E-4</v>
      </c>
      <c r="AR271" s="25">
        <f t="shared" ref="AR271" si="1652">LN(N271/L271)</f>
        <v>3.9648340384686821E-4</v>
      </c>
      <c r="AS271" s="25">
        <f t="shared" ref="AS271" si="1653">LN(N271/C271)</f>
        <v>7.2950255935363825E-3</v>
      </c>
      <c r="AT271" s="28">
        <f t="shared" ref="AT271" si="1654">+(G271-I271)/(H271-I271)</f>
        <v>0.98801811434680853</v>
      </c>
      <c r="AU271" s="28">
        <f t="shared" ref="AU271" si="1655">+(N271-P271)/(O271-P271)</f>
        <v>0.85834074344931788</v>
      </c>
      <c r="AV271" s="40">
        <f t="shared" ref="AV271" si="1656">+(N271-V271)/(U271-V271)</f>
        <v>0.93166073318579745</v>
      </c>
      <c r="AW271" s="25">
        <f t="shared" ref="AW271" si="1657">LN(N271/C271)</f>
        <v>7.2950255935363825E-3</v>
      </c>
      <c r="AX271" s="28">
        <f t="shared" ref="AX271" si="1658">(N271-L271)/(U271-V271)</f>
        <v>4.9981558100008747E-2</v>
      </c>
      <c r="AY271" s="25">
        <f t="shared" ref="AY271" si="1659">LN(G271/I271)</f>
        <v>7.0199719961794521E-3</v>
      </c>
      <c r="AZ271" s="25">
        <f t="shared" ref="AZ271" si="1660">LN(N271/P271)</f>
        <v>3.2894881222203611E-3</v>
      </c>
      <c r="BA271" s="25">
        <f t="shared" ref="BA271" si="1661">AV270</f>
        <v>0.30735107731304484</v>
      </c>
      <c r="BB271" s="25">
        <f t="shared" ref="BB271" si="1662">AR270</f>
        <v>-3.3934225552854284E-4</v>
      </c>
      <c r="BC271" s="25">
        <f t="shared" ref="BC271" si="1663">AS270</f>
        <v>-1.0272773415896989E-3</v>
      </c>
      <c r="BD271" s="39">
        <f t="shared" ref="BD271" si="1664">IF(AR270&lt;0,1,0)</f>
        <v>1</v>
      </c>
      <c r="BE271" t="str">
        <f t="shared" ref="BE271" si="1665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666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667">IF(B271=3,IF(AV270&lt;0.85,IF(AND(K271&gt;942,AT271&gt;0.9),0.25,1)*IF(AR270&lt;-0.004,1,0.5),0),"")</f>
        <v/>
      </c>
      <c r="BH271" t="str">
        <f t="shared" ref="BH271" si="1668">IF(B271=4,IF(AV270&lt;0.6,IF(AQ271&gt;=0,IF(K271&lt;1018,2,1),0),IF(AV270&gt;0.85,IF(AQ271&lt;=0,-0.5,0),0)),"")</f>
        <v/>
      </c>
      <c r="BI271" t="str">
        <f t="shared" ref="BI271" si="1669">IF(B271=5,IF(AV270&lt;0.4,IF(AQ271&gt; -0.004,1,0),IF(AV270&lt;0.95,IF(AND(AO271&lt;0.85,AT271&lt;0.95,AQ271&gt;0,K271&lt;1115),0.5,0),0)),"")</f>
        <v/>
      </c>
      <c r="BJ271" s="25" t="str">
        <f t="shared" ref="BJ271" si="1670">IF(MAX(BE271:BI271)=0,"",MAX(BE271:BI271)*AR271)</f>
        <v/>
      </c>
    </row>
    <row r="272" spans="1:62">
      <c r="A272" s="1">
        <v>42906</v>
      </c>
      <c r="B272" s="41">
        <f t="shared" si="24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52"/>
        <v>3115.1957200000002</v>
      </c>
      <c r="T272" t="str">
        <f t="shared" ref="T272" si="1671">IF(AVERAGE(N271)&lt;S271,"熊",IF(AVERAGE(N271)&gt;S271,"牛",""))</f>
        <v>牛</v>
      </c>
      <c r="U272">
        <f t="shared" ref="U272" si="1672">MAX(H272,O272)</f>
        <v>3150.3107</v>
      </c>
      <c r="V272">
        <f t="shared" ref="V272" si="1673">MIN(I272,P272)</f>
        <v>3134.6134999999999</v>
      </c>
      <c r="W272" s="40">
        <f t="shared" ref="W272" si="1674">LN(U272/V272)</f>
        <v>4.9952018959122171E-3</v>
      </c>
      <c r="X272">
        <f t="shared" ref="X272" si="1675">IF(U272=H272,J272,Q272)</f>
        <v>931</v>
      </c>
      <c r="Y272">
        <f t="shared" ref="Y272" si="1676">IF(V272=I272,K272,R272)</f>
        <v>1428</v>
      </c>
      <c r="Z272" s="25">
        <f t="shared" ref="Z272" si="1677">(U272-V272)/(C272)</f>
        <v>4.9863744456156078E-3</v>
      </c>
      <c r="AA272" s="25">
        <f t="shared" ref="AA272" si="1678">LN(C272/N271)</f>
        <v>9.5387988486891841E-4</v>
      </c>
      <c r="AB272" s="25">
        <f t="shared" ref="AB272" si="1679">LN(N272/U272)</f>
        <v>-3.1821092548020204E-3</v>
      </c>
      <c r="AC272" s="25">
        <f t="shared" ref="AC272" si="1680">LN(N272/V272)</f>
        <v>1.8130926411104534E-3</v>
      </c>
      <c r="AD272" s="25">
        <f t="shared" ref="AD272" si="1681">LN(U272/C272)</f>
        <v>7.2781207701666235E-4</v>
      </c>
      <c r="AE272" s="25">
        <f t="shared" ref="AE272" si="1682">LN(V272/C272)</f>
        <v>-4.2673898188956092E-3</v>
      </c>
      <c r="AF272" s="25">
        <f t="shared" ref="AF272" si="1683">LN(N272/C272)</f>
        <v>-2.4542971777853058E-3</v>
      </c>
      <c r="AG272" s="25">
        <f t="shared" ref="AG272" si="1684">LN(N272/N271)</f>
        <v>-1.5004172929163619E-3</v>
      </c>
      <c r="AH272" s="25">
        <f t="shared" ref="AH272" si="1685">LN(D272/C272)</f>
        <v>6.0797544642161958E-4</v>
      </c>
      <c r="AI272" s="25">
        <f t="shared" ref="AI272" si="1686">LN(E272/C272)</f>
        <v>1.7050541588157134E-4</v>
      </c>
      <c r="AJ272" s="25">
        <f t="shared" ref="AJ272" si="1687">LN(F272/C272)</f>
        <v>-8.9918993066408627E-4</v>
      </c>
      <c r="AK272" s="25">
        <f t="shared" ref="AK272" si="1688">+LN(G272/C272)</f>
        <v>-5.6219405290368698E-4</v>
      </c>
      <c r="AL272" s="25">
        <f t="shared" ref="AL272" si="1689">LN(H272/I272)</f>
        <v>4.8035857844081287E-3</v>
      </c>
      <c r="AM272" s="25">
        <f t="shared" ref="AM272" si="1690">LN(O272/P272)</f>
        <v>4.05733088629966E-3</v>
      </c>
      <c r="AN272" s="25">
        <f t="shared" ref="AN272" si="1691">LN(L272/G272)</f>
        <v>0</v>
      </c>
      <c r="AO272" s="40">
        <f t="shared" ref="AO272" si="1692">(C272-I272)/(H272-I272)</f>
        <v>0.84817672970556746</v>
      </c>
      <c r="AP272" s="40">
        <f t="shared" ref="AP272" si="1693">(N271-I272)/(H272-I272)</f>
        <v>0.6493624350014916</v>
      </c>
      <c r="AQ272" s="25">
        <f t="shared" ref="AQ272" si="1694">LN(M272/L272)</f>
        <v>-1.9758809088720882E-4</v>
      </c>
      <c r="AR272" s="25">
        <f t="shared" ref="AR272" si="1695">LN(N272/L272)</f>
        <v>-1.8921031248815732E-3</v>
      </c>
      <c r="AS272" s="25">
        <f t="shared" ref="AS272" si="1696">LN(N272/C272)</f>
        <v>-2.4542971777853058E-3</v>
      </c>
      <c r="AT272" s="28">
        <f t="shared" ref="AT272" si="1697">+(G272-I272)/(H272-I272)</f>
        <v>0.73097737886266234</v>
      </c>
      <c r="AU272" s="28">
        <f t="shared" ref="AU272" si="1698">+(N272-P272)/(O272-P272)</f>
        <v>0.44636691776523385</v>
      </c>
      <c r="AV272" s="40">
        <f t="shared" ref="AV272" si="1699">+(N272-V272)/(U272-V272)</f>
        <v>0.36238947073364547</v>
      </c>
      <c r="AW272" s="25">
        <f t="shared" ref="AW272" si="1700">LN(N272/C272)</f>
        <v>-2.4542971777853058E-3</v>
      </c>
      <c r="AX272" s="28">
        <f t="shared" ref="AX272" si="1701">(N272-L272)/(U272-V272)</f>
        <v>-0.37888285808934019</v>
      </c>
      <c r="AY272" s="25">
        <f t="shared" ref="AY272" si="1702">LN(G272/I272)</f>
        <v>3.5135796544877172E-3</v>
      </c>
      <c r="AZ272" s="25">
        <f t="shared" ref="AZ272" si="1703">LN(N272/P272)</f>
        <v>1.8130926411104534E-3</v>
      </c>
      <c r="BA272" s="25">
        <f t="shared" ref="BA272" si="1704">AV271</f>
        <v>0.93166073318579745</v>
      </c>
      <c r="BB272" s="25">
        <f t="shared" ref="BB272" si="1705">AR271</f>
        <v>3.9648340384686821E-4</v>
      </c>
      <c r="BC272" s="25">
        <f t="shared" ref="BC272" si="1706">AS271</f>
        <v>7.2950255935363825E-3</v>
      </c>
      <c r="BD272" s="39">
        <f t="shared" ref="BD272" si="1707">IF(AR271&lt;0,1,0)</f>
        <v>0</v>
      </c>
      <c r="BE272">
        <f t="shared" ref="BE272" si="1708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09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10">IF(B272=3,IF(AV271&lt;0.85,IF(AND(K272&gt;942,AT272&gt;0.9),0.25,1)*IF(AR271&lt;-0.004,1,0.5),0),"")</f>
        <v/>
      </c>
      <c r="BH272" t="str">
        <f t="shared" ref="BH272" si="1711">IF(B272=4,IF(AV271&lt;0.6,IF(AQ272&gt;=0,IF(K272&lt;1018,2,1),0),IF(AV271&gt;0.85,IF(AQ272&lt;=0,-0.5,0),0)),"")</f>
        <v/>
      </c>
      <c r="BI272" t="str">
        <f t="shared" ref="BI272" si="1712">IF(B272=5,IF(AV271&lt;0.4,IF(AQ272&gt; -0.004,1,0),IF(AV271&lt;0.95,IF(AND(AO272&lt;0.85,AT272&lt;0.95,AQ272&gt;0,K272&lt;1115),0.5,0),0)),"")</f>
        <v/>
      </c>
      <c r="BJ272" s="25" t="str">
        <f t="shared" ref="BJ272" si="1713">IF(MAX(BE272:BI272)=0,"",MAX(BE272:BI272)*AR272)</f>
        <v/>
      </c>
    </row>
    <row r="273" spans="1:62">
      <c r="A273" s="1">
        <v>42907</v>
      </c>
      <c r="B273" s="41">
        <f t="shared" si="24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52"/>
        <v>3117.6643899999995</v>
      </c>
      <c r="T273" t="str">
        <f t="shared" ref="T273" si="1714">IF(AVERAGE(N272)&lt;S272,"熊",IF(AVERAGE(N272)&gt;S272,"牛",""))</f>
        <v>牛</v>
      </c>
      <c r="U273">
        <f t="shared" ref="U273" si="1715">MAX(H273,O273)</f>
        <v>3157.0275000000001</v>
      </c>
      <c r="V273">
        <f t="shared" ref="V273" si="1716">MIN(I273,P273)</f>
        <v>3132.6172999999999</v>
      </c>
      <c r="W273" s="40">
        <f t="shared" ref="W273" si="1717">LN(U273/V273)</f>
        <v>7.7620671230222921E-3</v>
      </c>
      <c r="X273">
        <f t="shared" ref="X273" si="1718">IF(U273=H273,J273,Q273)</f>
        <v>1459</v>
      </c>
      <c r="Y273">
        <f t="shared" ref="Y273" si="1719">IF(V273=I273,K273,R273)</f>
        <v>941</v>
      </c>
      <c r="Z273" s="25">
        <f t="shared" ref="Z273" si="1720">(U273-V273)/(C273)</f>
        <v>7.7517649252247444E-3</v>
      </c>
      <c r="AA273" s="25">
        <f t="shared" ref="AA273" si="1721">LN(C273/N272)</f>
        <v>2.7615543701605019E-3</v>
      </c>
      <c r="AB273" s="25">
        <f t="shared" ref="AB273" si="1722">LN(N273/U273)</f>
        <v>-2.0584771029572734E-4</v>
      </c>
      <c r="AC273" s="25">
        <f t="shared" ref="AC273" si="1723">LN(N273/V273)</f>
        <v>7.5562194127265295E-3</v>
      </c>
      <c r="AD273" s="25">
        <f t="shared" ref="AD273" si="1724">LN(U273/C273)</f>
        <v>2.5503923298783129E-3</v>
      </c>
      <c r="AE273" s="25">
        <f t="shared" ref="AE273" si="1725">LN(V273/C273)</f>
        <v>-5.2116747931441028E-3</v>
      </c>
      <c r="AF273" s="25">
        <f t="shared" ref="AF273" si="1726">LN(N273/C273)</f>
        <v>2.3445446195826483E-3</v>
      </c>
      <c r="AG273" s="25">
        <f t="shared" ref="AG273" si="1727">LN(N273/N272)</f>
        <v>5.1060989897430773E-3</v>
      </c>
      <c r="AH273" s="25">
        <f t="shared" ref="AH273" si="1728">LN(D273/C273)</f>
        <v>-1.3632084975640484E-3</v>
      </c>
      <c r="AI273" s="25">
        <f t="shared" ref="AI273" si="1729">LN(E273/C273)</f>
        <v>-2.7330224895396509E-3</v>
      </c>
      <c r="AJ273" s="25">
        <f t="shared" ref="AJ273" si="1730">LN(F273/C273)</f>
        <v>-4.9410442149883937E-3</v>
      </c>
      <c r="AK273" s="25">
        <f t="shared" ref="AK273" si="1731">+LN(G273/C273)</f>
        <v>-1.3585975700889667E-3</v>
      </c>
      <c r="AL273" s="25">
        <f t="shared" ref="AL273" si="1732">LN(H273/I273)</f>
        <v>6.8837353966713991E-3</v>
      </c>
      <c r="AM273" s="25">
        <f t="shared" ref="AM273" si="1733">LN(O273/P273)</f>
        <v>6.8959145342254542E-3</v>
      </c>
      <c r="AN273" s="25">
        <f t="shared" ref="AN273" si="1734">LN(L273/G273)</f>
        <v>0</v>
      </c>
      <c r="AO273" s="40">
        <f t="shared" ref="AO273" si="1735">(C273-I273)/(H273-I273)</f>
        <v>0.75646648335144195</v>
      </c>
      <c r="AP273" s="40">
        <f t="shared" ref="AP273" si="1736">(N272-I273)/(H273-I273)</f>
        <v>0.35514014372531555</v>
      </c>
      <c r="AQ273" s="25">
        <f t="shared" ref="AQ273" si="1737">LN(M273/L273)</f>
        <v>-1.2656227523939868E-3</v>
      </c>
      <c r="AR273" s="25">
        <f t="shared" ref="AR273" si="1738">LN(N273/L273)</f>
        <v>3.7031421896714062E-3</v>
      </c>
      <c r="AS273" s="25">
        <f t="shared" ref="AS273" si="1739">LN(N273/C273)</f>
        <v>2.3445446195826483E-3</v>
      </c>
      <c r="AT273" s="28">
        <f t="shared" ref="AT273" si="1740">+(G273-I273)/(H273-I273)</f>
        <v>0.55888809298241271</v>
      </c>
      <c r="AU273" s="28">
        <f t="shared" ref="AU273" si="1741">+(N273-P273)/(O273-P273)</f>
        <v>0.97004936462063296</v>
      </c>
      <c r="AV273" s="40">
        <f t="shared" ref="AV273" si="1742">+(N273-V273)/(U273-V273)</f>
        <v>0.97337998049994945</v>
      </c>
      <c r="AW273" s="25">
        <f t="shared" ref="AW273" si="1743">LN(N273/C273)</f>
        <v>2.3445446195826483E-3</v>
      </c>
      <c r="AX273" s="28">
        <f t="shared" ref="AX273" si="1744">(N273-L273)/(U273-V273)</f>
        <v>0.47795183980467365</v>
      </c>
      <c r="AY273" s="25">
        <f t="shared" ref="AY273" si="1745">LN(G273/I273)</f>
        <v>3.8530772230551381E-3</v>
      </c>
      <c r="AZ273" s="25">
        <f t="shared" ref="AZ273" si="1746">LN(N273/P273)</f>
        <v>6.6900668239296716E-3</v>
      </c>
      <c r="BA273" s="25">
        <f t="shared" ref="BA273" si="1747">AV272</f>
        <v>0.36238947073364547</v>
      </c>
      <c r="BB273" s="25">
        <f t="shared" ref="BB273" si="1748">AR272</f>
        <v>-1.8921031248815732E-3</v>
      </c>
      <c r="BC273" s="25">
        <f t="shared" ref="BC273" si="1749">AS272</f>
        <v>-2.4542971777853058E-3</v>
      </c>
      <c r="BD273" s="39">
        <f t="shared" ref="BD273" si="1750">IF(AR272&lt;0,1,0)</f>
        <v>1</v>
      </c>
      <c r="BE273" t="str">
        <f t="shared" ref="BE273" si="1751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52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53">IF(B273=3,IF(AV272&lt;0.85,IF(AND(K273&gt;942,AT273&gt;0.9),0.25,1)*IF(AR272&lt;-0.004,1,0.5),0),"")</f>
        <v>0.5</v>
      </c>
      <c r="BH273" t="str">
        <f t="shared" ref="BH273" si="1754">IF(B273=4,IF(AV272&lt;0.6,IF(AQ273&gt;=0,IF(K273&lt;1018,2,1),0),IF(AV272&gt;0.85,IF(AQ273&lt;=0,-0.5,0),0)),"")</f>
        <v/>
      </c>
      <c r="BI273" t="str">
        <f t="shared" ref="BI273" si="1755">IF(B273=5,IF(AV272&lt;0.4,IF(AQ273&gt; -0.004,1,0),IF(AV272&lt;0.95,IF(AND(AO273&lt;0.85,AT273&lt;0.95,AQ273&gt;0,K273&lt;1115),0.5,0),0)),"")</f>
        <v/>
      </c>
      <c r="BJ273" s="25">
        <f t="shared" ref="BJ273" si="1756">IF(MAX(BE273:BI273)=0,"",MAX(BE273:BI273)*AR273)</f>
        <v>1.8515710948357031E-3</v>
      </c>
    </row>
    <row r="274" spans="1:62">
      <c r="A274" s="1">
        <v>42908</v>
      </c>
      <c r="B274" s="41">
        <f t="shared" si="24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52"/>
        <v>3121.6871249999995</v>
      </c>
      <c r="T274" t="str">
        <f t="shared" ref="T274" si="1757">IF(AVERAGE(N273)&lt;S273,"熊",IF(AVERAGE(N273)&gt;S273,"牛",""))</f>
        <v>牛</v>
      </c>
      <c r="U274">
        <f t="shared" ref="U274" si="1758">MAX(H274,O274)</f>
        <v>3186.9081000000001</v>
      </c>
      <c r="V274">
        <f t="shared" ref="V274" si="1759">MIN(I274,P274)</f>
        <v>3146.6954000000001</v>
      </c>
      <c r="W274" s="40">
        <f t="shared" ref="W274" si="1760">LN(U274/V274)</f>
        <v>1.2698376320068899E-2</v>
      </c>
      <c r="X274">
        <f t="shared" ref="X274" si="1761">IF(U274=H274,J274,Q274)</f>
        <v>1325</v>
      </c>
      <c r="Y274">
        <f t="shared" ref="Y274" si="1762">IF(V274=I274,K274,R274)</f>
        <v>1451</v>
      </c>
      <c r="Z274" s="25">
        <f t="shared" ref="Z274" si="1763">(U274-V274)/(C274)</f>
        <v>1.2756855246918841E-2</v>
      </c>
      <c r="AA274" s="25">
        <f t="shared" ref="AA274" si="1764">LN(C274/N273)</f>
        <v>-1.3110000370082102E-3</v>
      </c>
      <c r="AB274" s="25">
        <f t="shared" ref="AB274" si="1765">LN(N274/U274)</f>
        <v>-1.2561893236601574E-2</v>
      </c>
      <c r="AC274" s="25">
        <f t="shared" ref="AC274" si="1766">LN(N274/V274)</f>
        <v>1.3648308346718961E-4</v>
      </c>
      <c r="AD274" s="25">
        <f t="shared" ref="AD274" si="1767">LN(U274/C274)</f>
        <v>1.0937126531604571E-2</v>
      </c>
      <c r="AE274" s="25">
        <f t="shared" ref="AE274" si="1768">LN(V274/C274)</f>
        <v>-1.7612497884643013E-3</v>
      </c>
      <c r="AF274" s="25">
        <f t="shared" ref="AF274" si="1769">LN(N274/C274)</f>
        <v>-1.6247667049969967E-3</v>
      </c>
      <c r="AG274" s="25">
        <f t="shared" ref="AG274" si="1770">LN(N274/N273)</f>
        <v>-2.9357667420052947E-3</v>
      </c>
      <c r="AH274" s="25">
        <f t="shared" ref="AH274" si="1771">LN(D274/C274)</f>
        <v>-3.5181923461630563E-5</v>
      </c>
      <c r="AI274" s="25">
        <f t="shared" ref="AI274" si="1772">LN(E274/C274)</f>
        <v>1.0876494782855184E-3</v>
      </c>
      <c r="AJ274" s="25">
        <f t="shared" ref="AJ274" si="1773">LN(F274/C274)</f>
        <v>3.0928807136368424E-3</v>
      </c>
      <c r="AK274" s="25">
        <f t="shared" ref="AK274" si="1774">+LN(G274/C274)</f>
        <v>8.7985073554222616E-3</v>
      </c>
      <c r="AL274" s="25">
        <f t="shared" ref="AL274" si="1775">LN(H274/I274)</f>
        <v>9.4341246127687597E-3</v>
      </c>
      <c r="AM274" s="25">
        <f t="shared" ref="AM274" si="1776">LN(O274/P274)</f>
        <v>1.2698376320068899E-2</v>
      </c>
      <c r="AN274" s="25">
        <f t="shared" ref="AN274" si="1777">LN(L274/G274)</f>
        <v>0</v>
      </c>
      <c r="AO274" s="40">
        <f t="shared" ref="AO274" si="1778">(C274-I274)/(H274-I274)</f>
        <v>4.4397123227129499E-2</v>
      </c>
      <c r="AP274" s="40">
        <f t="shared" ref="AP274" si="1779">(N273-I274)/(H274-I274)</f>
        <v>0.18285521046780964</v>
      </c>
      <c r="AQ274" s="25">
        <f t="shared" ref="AQ274" si="1780">LN(M274/L274)</f>
        <v>1.4036310171426202E-4</v>
      </c>
      <c r="AR274" s="25">
        <f t="shared" ref="AR274" si="1781">LN(N274/L274)</f>
        <v>-1.0423274060419308E-2</v>
      </c>
      <c r="AS274" s="25">
        <f t="shared" ref="AS274" si="1782">LN(N274/C274)</f>
        <v>-1.6247667049969967E-3</v>
      </c>
      <c r="AT274" s="28">
        <f t="shared" ref="AT274" si="1783">+(G274-I274)/(H274-I274)</f>
        <v>0.97711840572140651</v>
      </c>
      <c r="AU274" s="28">
        <f t="shared" ref="AU274" si="1784">+(N274-P274)/(O274-P274)</f>
        <v>1.0680705349298455E-2</v>
      </c>
      <c r="AV274" s="40">
        <f t="shared" ref="AV274" si="1785">+(N274-V274)/(U274-V274)</f>
        <v>1.0680705349298455E-2</v>
      </c>
      <c r="AW274" s="25">
        <f t="shared" ref="AW274" si="1786">LN(N274/C274)</f>
        <v>-1.6247667049969967E-3</v>
      </c>
      <c r="AX274" s="28">
        <f t="shared" ref="AX274" si="1787">(N274-L274)/(U274-V274)</f>
        <v>-0.82001208573411211</v>
      </c>
      <c r="AY274" s="25">
        <f t="shared" ref="AY274" si="1788">LN(G274/I274)</f>
        <v>9.2192487841678619E-3</v>
      </c>
      <c r="AZ274" s="25">
        <f t="shared" ref="AZ274" si="1789">LN(N274/P274)</f>
        <v>1.3648308346718961E-4</v>
      </c>
      <c r="BA274" s="25">
        <f t="shared" ref="BA274" si="1790">AV273</f>
        <v>0.97337998049994945</v>
      </c>
      <c r="BB274" s="25">
        <f t="shared" ref="BB274" si="1791">AR273</f>
        <v>3.7031421896714062E-3</v>
      </c>
      <c r="BC274" s="25">
        <f t="shared" ref="BC274" si="1792">AS273</f>
        <v>2.3445446195826483E-3</v>
      </c>
      <c r="BD274" s="39">
        <f t="shared" ref="BD274" si="1793">IF(AR273&lt;0,1,0)</f>
        <v>0</v>
      </c>
      <c r="BE274" t="str">
        <f t="shared" ref="BE274" si="1794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795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796">IF(B274=3,IF(AV273&lt;0.85,IF(AND(K274&gt;942,AT274&gt;0.9),0.25,1)*IF(AR273&lt;-0.004,1,0.5),0),"")</f>
        <v/>
      </c>
      <c r="BH274">
        <f t="shared" ref="BH274" si="1797">IF(B274=4,IF(AV273&lt;0.6,IF(AQ274&gt;=0,IF(K274&lt;1018,2,1),0),IF(AV273&gt;0.85,IF(AQ274&lt;=0,-0.5,0),0)),"")</f>
        <v>0</v>
      </c>
      <c r="BI274" t="str">
        <f t="shared" ref="BI274" si="1798">IF(B274=5,IF(AV273&lt;0.4,IF(AQ274&gt; -0.004,1,0),IF(AV273&lt;0.95,IF(AND(AO274&lt;0.85,AT274&lt;0.95,AQ274&gt;0,K274&lt;1115),0.5,0),0)),"")</f>
        <v/>
      </c>
      <c r="BJ274" s="25" t="str">
        <f t="shared" ref="BJ274" si="1799">IF(MAX(BE274:BI274)=0,"",MAX(BE274:BI274)*AR274)</f>
        <v/>
      </c>
    </row>
    <row r="275" spans="1:62">
      <c r="A275" s="1">
        <v>42909</v>
      </c>
      <c r="B275" s="41">
        <f t="shared" si="24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52"/>
        <v>3125.9571599999999</v>
      </c>
      <c r="T275" t="str">
        <f t="shared" ref="T275" si="1800">IF(AVERAGE(N274)&lt;S274,"熊",IF(AVERAGE(N274)&gt;S274,"牛",""))</f>
        <v>牛</v>
      </c>
      <c r="U275">
        <f t="shared" ref="U275" si="1801">MAX(H275,O275)</f>
        <v>3157.7388000000001</v>
      </c>
      <c r="V275">
        <f t="shared" ref="V275" si="1802">MIN(I275,P275)</f>
        <v>3118.2143000000001</v>
      </c>
      <c r="W275" s="40">
        <f t="shared" ref="W275" si="1803">LN(U275/V275)</f>
        <v>1.2595703607538731E-2</v>
      </c>
      <c r="X275">
        <f t="shared" ref="X275" si="1804">IF(U275=H275,J275,Q275)</f>
        <v>1500</v>
      </c>
      <c r="Y275">
        <f t="shared" ref="Y275" si="1805">IF(V275=I275,K275,R275)</f>
        <v>1301</v>
      </c>
      <c r="Z275" s="25">
        <f t="shared" ref="Z275" si="1806">(U275-V275)/(C275)</f>
        <v>1.2593660661344897E-2</v>
      </c>
      <c r="AA275" s="25">
        <f t="shared" ref="AA275" si="1807">LN(C275/N274)</f>
        <v>-2.7621383264149575E-3</v>
      </c>
      <c r="AB275" s="25">
        <f t="shared" ref="AB275" si="1808">LN(N275/U275)</f>
        <v>-9.8176333514598957E-5</v>
      </c>
      <c r="AC275" s="25">
        <f t="shared" ref="AC275" si="1809">LN(N275/V275)</f>
        <v>1.2497527274024348E-2</v>
      </c>
      <c r="AD275" s="25">
        <f t="shared" ref="AD275" si="1810">LN(U275/C275)</f>
        <v>6.1290342758343599E-3</v>
      </c>
      <c r="AE275" s="25">
        <f t="shared" ref="AE275" si="1811">LN(V275/C275)</f>
        <v>-6.4666693317045054E-3</v>
      </c>
      <c r="AF275" s="25">
        <f t="shared" ref="AF275" si="1812">LN(N275/C275)</f>
        <v>6.0308579423197567E-3</v>
      </c>
      <c r="AG275" s="25">
        <f t="shared" ref="AG275" si="1813">LN(N275/N274)</f>
        <v>3.2687196159048265E-3</v>
      </c>
      <c r="AH275" s="25">
        <f t="shared" ref="AH275" si="1814">LN(D275/C275)</f>
        <v>1.3397664239979412E-3</v>
      </c>
      <c r="AI275" s="25">
        <f t="shared" ref="AI275" si="1815">LN(E275/C275)</f>
        <v>5.5040792942325628E-4</v>
      </c>
      <c r="AJ275" s="25">
        <f t="shared" ref="AJ275" si="1816">LN(F275/C275)</f>
        <v>-1.6148402024474639E-3</v>
      </c>
      <c r="AK275" s="25">
        <f t="shared" ref="AK275" si="1817">+LN(G275/C275)</f>
        <v>-4.540274970759677E-3</v>
      </c>
      <c r="AL275" s="25">
        <f t="shared" ref="AL275" si="1818">LN(H275/I275)</f>
        <v>8.7670908036409298E-3</v>
      </c>
      <c r="AM275" s="25">
        <f t="shared" ref="AM275" si="1819">LN(O275/P275)</f>
        <v>1.2595703607538731E-2</v>
      </c>
      <c r="AN275" s="25">
        <f t="shared" ref="AN275" si="1820">LN(L275/G275)</f>
        <v>0</v>
      </c>
      <c r="AO275" s="40">
        <f t="shared" ref="AO275" si="1821">(C275-I275)/(H275-I275)</f>
        <v>0.52010178117048766</v>
      </c>
      <c r="AP275" s="40">
        <f t="shared" ref="AP275" si="1822">(N274-I275)/(H275-I275)</f>
        <v>0.83565249000362873</v>
      </c>
      <c r="AQ275" s="25">
        <f t="shared" ref="AQ275" si="1823">LN(M275/L275)</f>
        <v>-1.5032047803583586E-4</v>
      </c>
      <c r="AR275" s="25">
        <f t="shared" ref="AR275" si="1824">LN(N275/L275)</f>
        <v>1.0571132913079427E-2</v>
      </c>
      <c r="AS275" s="25">
        <f t="shared" ref="AS275" si="1825">LN(N275/C275)</f>
        <v>6.0308579423197567E-3</v>
      </c>
      <c r="AT275" s="28">
        <f t="shared" ref="AT275" si="1826">+(G275-I275)/(H275-I275)</f>
        <v>3.3042529988983283E-3</v>
      </c>
      <c r="AU275" s="28">
        <f t="shared" ref="AU275" si="1827">+(N275-P275)/(O275-P275)</f>
        <v>0.99215676352642168</v>
      </c>
      <c r="AV275" s="40">
        <f t="shared" ref="AV275" si="1828">+(N275-V275)/(U275-V275)</f>
        <v>0.99215676352642168</v>
      </c>
      <c r="AW275" s="25">
        <f t="shared" ref="AW275" si="1829">LN(N275/C275)</f>
        <v>6.0308579423197567E-3</v>
      </c>
      <c r="AX275" s="28">
        <f t="shared" ref="AX275" si="1830">(N275-L275)/(U275-V275)</f>
        <v>0.84003086693064521</v>
      </c>
      <c r="AY275" s="25">
        <f t="shared" ref="AY275" si="1831">LN(G275/I275)</f>
        <v>2.9095620261288855E-5</v>
      </c>
      <c r="AZ275" s="25">
        <f t="shared" ref="AZ275" si="1832">LN(N275/P275)</f>
        <v>1.2497527274024348E-2</v>
      </c>
      <c r="BA275" s="25">
        <f t="shared" ref="BA275" si="1833">AV274</f>
        <v>1.0680705349298455E-2</v>
      </c>
      <c r="BB275" s="25">
        <f t="shared" ref="BB275" si="1834">AR274</f>
        <v>-1.0423274060419308E-2</v>
      </c>
      <c r="BC275" s="25">
        <f t="shared" ref="BC275" si="1835">AS274</f>
        <v>-1.6247667049969967E-3</v>
      </c>
      <c r="BD275" s="39">
        <f t="shared" ref="BD275" si="1836">IF(AR274&lt;0,1,0)</f>
        <v>1</v>
      </c>
      <c r="BE275" t="str">
        <f t="shared" ref="BE275" si="1837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38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39">IF(B275=3,IF(AV274&lt;0.85,IF(AND(K275&gt;942,AT275&gt;0.9),0.25,1)*IF(AR274&lt;-0.004,1,0.5),0),"")</f>
        <v/>
      </c>
      <c r="BH275" t="str">
        <f t="shared" ref="BH275" si="1840">IF(B275=4,IF(AV274&lt;0.6,IF(AQ275&gt;=0,IF(K275&lt;1018,2,1),0),IF(AV274&gt;0.85,IF(AQ275&lt;=0,-0.5,0),0)),"")</f>
        <v/>
      </c>
      <c r="BI275">
        <f t="shared" ref="BI275" si="1841">IF(B275=5,IF(AV274&lt;0.4,IF(AQ275&gt; -0.004,1,0),IF(AV274&lt;0.95,IF(AND(AO275&lt;0.85,AT275&lt;0.95,AQ275&gt;0,K275&lt;1115),0.5,0),0)),"")</f>
        <v>1</v>
      </c>
      <c r="BJ275" s="25">
        <f t="shared" ref="BJ275" si="1842">IF(MAX(BE275:BI275)=0,"",MAX(BE275:BI275)*AR275)</f>
        <v>1.0571132913079427E-2</v>
      </c>
    </row>
    <row r="276" spans="1:62">
      <c r="A276" s="1">
        <v>42912</v>
      </c>
      <c r="B276" s="41">
        <f t="shared" si="24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52"/>
        <v>3130.6390799999999</v>
      </c>
      <c r="T276" t="str">
        <f t="shared" ref="T276" si="1843">IF(AVERAGE(N275)&lt;S275,"熊",IF(AVERAGE(N275)&gt;S275,"牛",""))</f>
        <v>牛</v>
      </c>
      <c r="U276">
        <f t="shared" ref="U276" si="1844">MAX(H276,O276)</f>
        <v>3187.7836000000002</v>
      </c>
      <c r="V276">
        <f t="shared" ref="V276" si="1845">MIN(I276,P276)</f>
        <v>3157.0021999999999</v>
      </c>
      <c r="W276" s="40">
        <f t="shared" ref="W276" si="1846">LN(U276/V276)</f>
        <v>9.7029726360185094E-3</v>
      </c>
      <c r="X276">
        <f t="shared" ref="X276" si="1847">IF(U276=H276,J276,Q276)</f>
        <v>1448</v>
      </c>
      <c r="Y276">
        <f t="shared" ref="Y276" si="1848">IF(V276=I276,K276,R276)</f>
        <v>930</v>
      </c>
      <c r="Z276" s="25">
        <f t="shared" ref="Z276" si="1849">(U276-V276)/(C276)</f>
        <v>9.7501990971055712E-3</v>
      </c>
      <c r="AA276" s="25">
        <f t="shared" ref="AA276" si="1850">LN(C276/N275)</f>
        <v>-1.3511906319012276E-4</v>
      </c>
      <c r="AB276" s="25">
        <f t="shared" ref="AB276" si="1851">LN(N276/U276)</f>
        <v>-5.4504120395325014E-4</v>
      </c>
      <c r="AC276" s="25">
        <f t="shared" ref="AC276" si="1852">LN(N276/V276)</f>
        <v>9.1579314320651573E-3</v>
      </c>
      <c r="AD276" s="25">
        <f t="shared" ref="AD276" si="1853">LN(U276/C276)</f>
        <v>9.7029726360185094E-3</v>
      </c>
      <c r="AE276" s="25">
        <f t="shared" ref="AE276" si="1854">LN(V276/C276)</f>
        <v>0</v>
      </c>
      <c r="AF276" s="25">
        <f t="shared" ref="AF276" si="1855">LN(N276/C276)</f>
        <v>9.1579314320651573E-3</v>
      </c>
      <c r="AG276" s="25">
        <f t="shared" ref="AG276" si="1856">LN(N276/N275)</f>
        <v>9.0228123688749599E-3</v>
      </c>
      <c r="AH276" s="25">
        <f t="shared" ref="AH276" si="1857">LN(D276/C276)</f>
        <v>9.5370975616494301E-4</v>
      </c>
      <c r="AI276" s="25">
        <f t="shared" ref="AI276" si="1858">LN(E276/C276)</f>
        <v>3.5235576165112887E-3</v>
      </c>
      <c r="AJ276" s="25">
        <f t="shared" ref="AJ276" si="1859">LN(F276/C276)</f>
        <v>5.2794163065264139E-3</v>
      </c>
      <c r="AK276" s="25">
        <f t="shared" ref="AK276" si="1860">+LN(G276/C276)</f>
        <v>6.6748182788407854E-3</v>
      </c>
      <c r="AL276" s="25">
        <f t="shared" ref="AL276" si="1861">LN(H276/I276)</f>
        <v>8.2338834889716037E-3</v>
      </c>
      <c r="AM276" s="25">
        <f t="shared" ref="AM276" si="1862">LN(O276/P276)</f>
        <v>4.2189282836052801E-3</v>
      </c>
      <c r="AN276" s="25">
        <f t="shared" ref="AN276" si="1863">LN(L276/G276)</f>
        <v>0</v>
      </c>
      <c r="AO276" s="40">
        <f t="shared" ref="AO276" si="1864">(C276-I276)/(H276-I276)</f>
        <v>0</v>
      </c>
      <c r="AP276" s="40">
        <f t="shared" ref="AP276" si="1865">(N275-I276)/(H276-I276)</f>
        <v>1.634376304992519E-2</v>
      </c>
      <c r="AQ276" s="25">
        <f t="shared" ref="AQ276" si="1866">LN(M276/L276)</f>
        <v>1.064331284964715E-3</v>
      </c>
      <c r="AR276" s="25">
        <f t="shared" ref="AR276" si="1867">LN(N276/L276)</f>
        <v>2.4831131532242856E-3</v>
      </c>
      <c r="AS276" s="25">
        <f t="shared" ref="AS276" si="1868">LN(N276/C276)</f>
        <v>9.1579314320651573E-3</v>
      </c>
      <c r="AT276" s="28">
        <f t="shared" ref="AT276" si="1869">+(G276-I276)/(H276-I276)</f>
        <v>0.81002003700908942</v>
      </c>
      <c r="AU276" s="28">
        <f t="shared" ref="AU276" si="1870">+(N276-P276)/(O276-P276)</f>
        <v>0.87057306995908823</v>
      </c>
      <c r="AV276" s="40">
        <f t="shared" ref="AV276" si="1871">+(N276-V276)/(U276-V276)</f>
        <v>0.94356981813692475</v>
      </c>
      <c r="AW276" s="25">
        <f t="shared" ref="AW276" si="1872">LN(N276/C276)</f>
        <v>9.1579314320651573E-3</v>
      </c>
      <c r="AX276" s="28">
        <f t="shared" ref="AX276" si="1873">(N276-L276)/(U276-V276)</f>
        <v>0.25669722624701491</v>
      </c>
      <c r="AY276" s="25">
        <f t="shared" ref="AY276" si="1874">LN(G276/I276)</f>
        <v>6.6748182788407854E-3</v>
      </c>
      <c r="AZ276" s="25">
        <f t="shared" ref="AZ276" si="1875">LN(N276/P276)</f>
        <v>3.6738870796521302E-3</v>
      </c>
      <c r="BA276" s="25">
        <f t="shared" ref="BA276" si="1876">AV275</f>
        <v>0.99215676352642168</v>
      </c>
      <c r="BB276" s="25">
        <f t="shared" ref="BB276" si="1877">AR275</f>
        <v>1.0571132913079427E-2</v>
      </c>
      <c r="BC276" s="25">
        <f t="shared" ref="BC276" si="1878">AS275</f>
        <v>6.0308579423197567E-3</v>
      </c>
      <c r="BD276" s="39">
        <f t="shared" ref="BD276" si="1879">IF(AR275&lt;0,1,0)</f>
        <v>0</v>
      </c>
      <c r="BE276" t="str">
        <f t="shared" ref="BE276" si="1880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881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882">IF(B276=3,IF(AV275&lt;0.85,IF(AND(K276&gt;942,AT276&gt;0.9),0.25,1)*IF(AR275&lt;-0.004,1,0.5),0),"")</f>
        <v/>
      </c>
      <c r="BH276" t="str">
        <f t="shared" ref="BH276" si="1883">IF(B276=4,IF(AV275&lt;0.6,IF(AQ276&gt;=0,IF(K276&lt;1018,2,1),0),IF(AV275&gt;0.85,IF(AQ276&lt;=0,-0.5,0),0)),"")</f>
        <v/>
      </c>
      <c r="BI276" t="str">
        <f t="shared" ref="BI276" si="1884">IF(B276=5,IF(AV275&lt;0.4,IF(AQ276&gt; -0.004,1,0),IF(AV275&lt;0.95,IF(AND(AO276&lt;0.85,AT276&lt;0.95,AQ276&gt;0,K276&lt;1115),0.5,0),0)),"")</f>
        <v/>
      </c>
      <c r="BJ276" s="25" t="str">
        <f t="shared" ref="BJ276" si="1885">IF(MAX(BE276:BI276)=0,"",MAX(BE276:BI276)*AR276)</f>
        <v/>
      </c>
    </row>
    <row r="277" spans="1:62">
      <c r="A277" s="1">
        <v>42913</v>
      </c>
      <c r="B277" s="41">
        <f t="shared" si="24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52"/>
        <v>3134.5477600000004</v>
      </c>
      <c r="T277" t="str">
        <f t="shared" ref="T277" si="1886">IF(AVERAGE(N276)&lt;S276,"熊",IF(AVERAGE(N276)&gt;S276,"牛",""))</f>
        <v>牛</v>
      </c>
      <c r="U277">
        <f t="shared" ref="U277" si="1887">MAX(H277,O277)</f>
        <v>3193.4319</v>
      </c>
      <c r="V277">
        <f t="shared" ref="V277" si="1888">MIN(I277,P277)</f>
        <v>3172.6689999999999</v>
      </c>
      <c r="W277" s="40">
        <f t="shared" ref="W277" si="1889">LN(U277/V277)</f>
        <v>6.5229797474490089E-3</v>
      </c>
      <c r="X277">
        <f t="shared" ref="X277" si="1890">IF(U277=H277,J277,Q277)</f>
        <v>1438</v>
      </c>
      <c r="Y277">
        <f t="shared" ref="Y277" si="1891">IF(V277=I277,K277,R277)</f>
        <v>1329</v>
      </c>
      <c r="Z277" s="25">
        <f t="shared" ref="Z277" si="1892">(U277-V277)/(C277)</f>
        <v>6.522199805379162E-3</v>
      </c>
      <c r="AA277" s="25">
        <f t="shared" ref="AA277" si="1893">LN(C277/N276)</f>
        <v>-8.2481011248298109E-4</v>
      </c>
      <c r="AB277" s="25">
        <f t="shared" ref="AB277" si="1894">LN(N277/U277)</f>
        <v>-6.0053753859710718E-4</v>
      </c>
      <c r="AC277" s="25">
        <f t="shared" ref="AC277" si="1895">LN(N277/V277)</f>
        <v>5.9224422088520658E-3</v>
      </c>
      <c r="AD277" s="25">
        <f t="shared" ref="AD277" si="1896">LN(U277/C277)</f>
        <v>3.1401414673057557E-3</v>
      </c>
      <c r="AE277" s="25">
        <f t="shared" ref="AE277" si="1897">LN(V277/C277)</f>
        <v>-3.3828382801432419E-3</v>
      </c>
      <c r="AF277" s="25">
        <f t="shared" ref="AF277" si="1898">LN(N277/C277)</f>
        <v>2.539603928708702E-3</v>
      </c>
      <c r="AG277" s="25">
        <f t="shared" ref="AG277" si="1899">LN(N277/N276)</f>
        <v>1.7147938162258188E-3</v>
      </c>
      <c r="AH277" s="25">
        <f t="shared" ref="AH277" si="1900">LN(D277/C277)</f>
        <v>-4.0920348974591713E-4</v>
      </c>
      <c r="AI277" s="25">
        <f t="shared" ref="AI277" si="1901">LN(E277/C277)</f>
        <v>8.908772712331839E-4</v>
      </c>
      <c r="AJ277" s="25">
        <f t="shared" ref="AJ277" si="1902">LN(F277/C277)</f>
        <v>-5.1838204005935878E-4</v>
      </c>
      <c r="AK277" s="25">
        <f t="shared" ref="AK277" si="1903">+LN(G277/C277)</f>
        <v>-2.3863979202432003E-4</v>
      </c>
      <c r="AL277" s="25">
        <f t="shared" ref="AL277" si="1904">LN(H277/I277)</f>
        <v>2.9449337421283183E-3</v>
      </c>
      <c r="AM277" s="25">
        <f t="shared" ref="AM277" si="1905">LN(O277/P277)</f>
        <v>6.5229797474490089E-3</v>
      </c>
      <c r="AN277" s="25">
        <f t="shared" ref="AN277" si="1906">LN(L277/G277)</f>
        <v>0</v>
      </c>
      <c r="AO277" s="40">
        <f t="shared" ref="AO277" si="1907">(C277-I277)/(H277-I277)</f>
        <v>0.5816466973230896</v>
      </c>
      <c r="AP277" s="40">
        <f t="shared" ref="AP277" si="1908">(N276-I277)/(H277-I277)</f>
        <v>0.86190745462887186</v>
      </c>
      <c r="AQ277" s="25">
        <f t="shared" ref="AQ277" si="1909">LN(M277/L277)</f>
        <v>-1.9560632809722551E-3</v>
      </c>
      <c r="AR277" s="25">
        <f t="shared" ref="AR277" si="1910">LN(N277/L277)</f>
        <v>2.7782437207331413E-3</v>
      </c>
      <c r="AS277" s="25">
        <f t="shared" ref="AS277" si="1911">LN(N277/C277)</f>
        <v>2.539603928708702E-3</v>
      </c>
      <c r="AT277" s="28">
        <f t="shared" ref="AT277" si="1912">+(G277-I277)/(H277-I277)</f>
        <v>0.5006028145571535</v>
      </c>
      <c r="AU277" s="28">
        <f t="shared" ref="AU277" si="1913">+(N277-P277)/(O277-P277)</f>
        <v>0.90766222444842237</v>
      </c>
      <c r="AV277" s="40">
        <f t="shared" ref="AV277" si="1914">+(N277-V277)/(U277-V277)</f>
        <v>0.90766222444842237</v>
      </c>
      <c r="AW277" s="25">
        <f t="shared" ref="AW277" si="1915">LN(N277/C277)</f>
        <v>2.539603928708702E-3</v>
      </c>
      <c r="AX277" s="28">
        <f t="shared" ref="AX277" si="1916">(N277-L277)/(U277-V277)</f>
        <v>0.42645776842350047</v>
      </c>
      <c r="AY277" s="25">
        <f t="shared" ref="AY277" si="1917">LN(G277/I277)</f>
        <v>1.4753261960865343E-3</v>
      </c>
      <c r="AZ277" s="25">
        <f t="shared" ref="AZ277" si="1918">LN(N277/P277)</f>
        <v>5.9224422088520658E-3</v>
      </c>
      <c r="BA277" s="25">
        <f t="shared" ref="BA277" si="1919">AV276</f>
        <v>0.94356981813692475</v>
      </c>
      <c r="BB277" s="25">
        <f t="shared" ref="BB277" si="1920">AR276</f>
        <v>2.4831131532242856E-3</v>
      </c>
      <c r="BC277" s="25">
        <f t="shared" ref="BC277" si="1921">AS276</f>
        <v>9.1579314320651573E-3</v>
      </c>
      <c r="BD277" s="39">
        <f t="shared" ref="BD277" si="1922">IF(AR276&lt;0,1,0)</f>
        <v>0</v>
      </c>
      <c r="BE277">
        <f t="shared" ref="BE277" si="1923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24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25">IF(B277=3,IF(AV276&lt;0.85,IF(AND(K277&gt;942,AT277&gt;0.9),0.25,1)*IF(AR276&lt;-0.004,1,0.5),0),"")</f>
        <v/>
      </c>
      <c r="BH277" t="str">
        <f t="shared" ref="BH277" si="1926">IF(B277=4,IF(AV276&lt;0.6,IF(AQ277&gt;=0,IF(K277&lt;1018,2,1),0),IF(AV276&gt;0.85,IF(AQ277&lt;=0,-0.5,0),0)),"")</f>
        <v/>
      </c>
      <c r="BI277" t="str">
        <f t="shared" ref="BI277" si="1927">IF(B277=5,IF(AV276&lt;0.4,IF(AQ277&gt; -0.004,1,0),IF(AV276&lt;0.95,IF(AND(AO277&lt;0.85,AT277&lt;0.95,AQ277&gt;0,K277&lt;1115),0.5,0),0)),"")</f>
        <v/>
      </c>
      <c r="BJ277" s="25" t="str">
        <f t="shared" ref="BJ277" si="1928">IF(MAX(BE277:BI277)=0,"",MAX(BE277:BI277)*AR277)</f>
        <v/>
      </c>
    </row>
    <row r="278" spans="1:62">
      <c r="A278" s="1">
        <v>42914</v>
      </c>
      <c r="B278" s="41">
        <f t="shared" si="24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52"/>
        <v>3138.6209950000002</v>
      </c>
      <c r="T278" t="str">
        <f t="shared" ref="T278" si="1929">IF(AVERAGE(N277)&lt;S277,"熊",IF(AVERAGE(N277)&gt;S277,"牛",""))</f>
        <v>牛</v>
      </c>
      <c r="U278">
        <f t="shared" ref="U278" si="1930">MAX(H278,O278)</f>
        <v>3193.4340000000002</v>
      </c>
      <c r="V278">
        <f t="shared" ref="V278" si="1931">MIN(I278,P278)</f>
        <v>3171.1100999999999</v>
      </c>
      <c r="W278" s="40">
        <f t="shared" ref="W278" si="1932">LN(U278/V278)</f>
        <v>7.0151109644548239E-3</v>
      </c>
      <c r="X278">
        <f t="shared" ref="X278" si="1933">IF(U278=H278,J278,Q278)</f>
        <v>1300</v>
      </c>
      <c r="Y278">
        <f t="shared" ref="Y278" si="1934">IF(V278=I278,K278,R278)</f>
        <v>1450</v>
      </c>
      <c r="Z278" s="25">
        <f t="shared" ref="Z278" si="1935">(U278-V278)/(C278)</f>
        <v>7.0120824841202883E-3</v>
      </c>
      <c r="AA278" s="25">
        <f t="shared" ref="AA278" si="1936">LN(C278/N277)</f>
        <v>-2.4725085257427263E-3</v>
      </c>
      <c r="AB278" s="25">
        <f t="shared" ref="AB278" si="1937">LN(N278/U278)</f>
        <v>-6.1346714746234616E-3</v>
      </c>
      <c r="AC278" s="25">
        <f t="shared" ref="AC278" si="1938">LN(N278/V278)</f>
        <v>8.8043948983142402E-4</v>
      </c>
      <c r="AD278" s="25">
        <f t="shared" ref="AD278" si="1939">LN(U278/C278)</f>
        <v>3.0737036638675873E-3</v>
      </c>
      <c r="AE278" s="25">
        <f t="shared" ref="AE278" si="1940">LN(V278/C278)</f>
        <v>-3.9414073005872175E-3</v>
      </c>
      <c r="AF278" s="25">
        <f t="shared" ref="AF278" si="1941">LN(N278/C278)</f>
        <v>-3.0609678107557858E-3</v>
      </c>
      <c r="AG278" s="25">
        <f t="shared" ref="AG278" si="1942">LN(N278/N277)</f>
        <v>-5.533476336498493E-3</v>
      </c>
      <c r="AH278" s="25">
        <f t="shared" ref="AH278" si="1943">LN(D278/C278)</f>
        <v>-1.4534528769510812E-3</v>
      </c>
      <c r="AI278" s="25">
        <f t="shared" ref="AI278" si="1944">LN(E278/C278)</f>
        <v>-1.9928228711520927E-3</v>
      </c>
      <c r="AJ278" s="25">
        <f t="shared" ref="AJ278" si="1945">LN(F278/C278)</f>
        <v>-9.2188666851420386E-4</v>
      </c>
      <c r="AK278" s="25">
        <f t="shared" ref="AK278" si="1946">+LN(G278/C278)</f>
        <v>2.8805073763247093E-3</v>
      </c>
      <c r="AL278" s="25">
        <f t="shared" ref="AL278" si="1947">LN(H278/I278)</f>
        <v>5.8262609228411219E-3</v>
      </c>
      <c r="AM278" s="25">
        <f t="shared" ref="AM278" si="1948">LN(O278/P278)</f>
        <v>7.0151109644548239E-3</v>
      </c>
      <c r="AN278" s="25">
        <f t="shared" ref="AN278" si="1949">LN(L278/G278)</f>
        <v>0</v>
      </c>
      <c r="AO278" s="40">
        <f t="shared" ref="AO278" si="1950">(C278-I278)/(H278-I278)</f>
        <v>0.50487111887471869</v>
      </c>
      <c r="AP278" s="40">
        <f t="shared" ref="AP278" si="1951">(N277-I278)/(H278-I278)</f>
        <v>0.92978256533014148</v>
      </c>
      <c r="AQ278" s="25">
        <f t="shared" ref="AQ278" si="1952">LN(M278/L278)</f>
        <v>-1.1327449970522842E-3</v>
      </c>
      <c r="AR278" s="25">
        <f t="shared" ref="AR278" si="1953">LN(N278/L278)</f>
        <v>-5.9414751870804439E-3</v>
      </c>
      <c r="AS278" s="25">
        <f t="shared" ref="AS278" si="1954">LN(N278/C278)</f>
        <v>-3.0609678107557858E-3</v>
      </c>
      <c r="AT278" s="28">
        <f t="shared" ref="AT278" si="1955">+(G278-I278)/(H278-I278)</f>
        <v>1</v>
      </c>
      <c r="AU278" s="28">
        <f t="shared" ref="AU278" si="1956">+(N278-P278)/(O278-P278)</f>
        <v>0.12512150654679646</v>
      </c>
      <c r="AV278" s="40">
        <f t="shared" ref="AV278" si="1957">+(N278-V278)/(U278-V278)</f>
        <v>0.12512150654679646</v>
      </c>
      <c r="AW278" s="25">
        <f t="shared" ref="AW278" si="1958">LN(N278/C278)</f>
        <v>-3.0609678107557858E-3</v>
      </c>
      <c r="AX278" s="28">
        <f t="shared" ref="AX278" si="1959">(N278-L278)/(U278-V278)</f>
        <v>-0.84724443309636721</v>
      </c>
      <c r="AY278" s="25">
        <f t="shared" ref="AY278" si="1960">LN(G278/I278)</f>
        <v>5.8262609228411219E-3</v>
      </c>
      <c r="AZ278" s="25">
        <f t="shared" ref="AZ278" si="1961">LN(N278/P278)</f>
        <v>8.8043948983142402E-4</v>
      </c>
      <c r="BA278" s="25">
        <f t="shared" ref="BA278" si="1962">AV277</f>
        <v>0.90766222444842237</v>
      </c>
      <c r="BB278" s="25">
        <f t="shared" ref="BB278" si="1963">AR277</f>
        <v>2.7782437207331413E-3</v>
      </c>
      <c r="BC278" s="25">
        <f t="shared" ref="BC278" si="1964">AS277</f>
        <v>2.539603928708702E-3</v>
      </c>
      <c r="BD278" s="39">
        <f t="shared" ref="BD278" si="1965">IF(AR277&lt;0,1,0)</f>
        <v>0</v>
      </c>
      <c r="BE278" t="str">
        <f t="shared" ref="BE278" si="1966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1967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1968">IF(B278=3,IF(AV277&lt;0.85,IF(AND(K278&gt;942,AT278&gt;0.9),0.25,1)*IF(AR277&lt;-0.004,1,0.5),0),"")</f>
        <v>0</v>
      </c>
      <c r="BH278" t="str">
        <f t="shared" ref="BH278" si="1969">IF(B278=4,IF(AV277&lt;0.6,IF(AQ278&gt;=0,IF(K278&lt;1018,2,1),0),IF(AV277&gt;0.85,IF(AQ278&lt;=0,-0.5,0),0)),"")</f>
        <v/>
      </c>
      <c r="BI278" t="str">
        <f t="shared" ref="BI278" si="1970">IF(B278=5,IF(AV277&lt;0.4,IF(AQ278&gt; -0.004,1,0),IF(AV277&lt;0.95,IF(AND(AO278&lt;0.85,AT278&lt;0.95,AQ278&gt;0,K278&lt;1115),0.5,0),0)),"")</f>
        <v/>
      </c>
      <c r="BJ278" s="25" t="str">
        <f t="shared" ref="BJ278" si="1971">IF(MAX(BE278:BI278)=0,"",MAX(BE278:BI278)*AR278)</f>
        <v/>
      </c>
    </row>
    <row r="279" spans="1:62">
      <c r="A279" s="1">
        <v>42915</v>
      </c>
      <c r="B279" s="41">
        <f t="shared" si="24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52"/>
        <v>3141.4576600000005</v>
      </c>
      <c r="T279" t="str">
        <f t="shared" ref="T279" si="1972">IF(AVERAGE(N278)&lt;S278,"熊",IF(AVERAGE(N278)&gt;S278,"牛",""))</f>
        <v>牛</v>
      </c>
      <c r="U279">
        <f t="shared" ref="U279" si="1973">MAX(H279,O279)</f>
        <v>3188.6649000000002</v>
      </c>
      <c r="V279">
        <f t="shared" ref="V279" si="1974">MIN(I279,P279)</f>
        <v>3174.3901000000001</v>
      </c>
      <c r="W279" s="40">
        <f t="shared" ref="W279" si="1975">LN(U279/V279)</f>
        <v>4.4867831403072149E-3</v>
      </c>
      <c r="X279">
        <f t="shared" ref="X279" si="1976">IF(U279=H279,J279,Q279)</f>
        <v>1434</v>
      </c>
      <c r="Y279">
        <f t="shared" ref="Y279" si="1977">IF(V279=I279,K279,R279)</f>
        <v>942</v>
      </c>
      <c r="Z279" s="25">
        <f t="shared" ref="Z279" si="1978">(U279-V279)/(C279)</f>
        <v>4.4960267637499133E-3</v>
      </c>
      <c r="AA279" s="25">
        <f t="shared" ref="AA279" si="1979">LN(C279/N278)</f>
        <v>3.3952421951607249E-4</v>
      </c>
      <c r="AB279" s="25">
        <f t="shared" ref="AB279" si="1980">LN(N279/U279)</f>
        <v>-2.4031752892338435E-4</v>
      </c>
      <c r="AC279" s="25">
        <f t="shared" ref="AC279" si="1981">LN(N279/V279)</f>
        <v>4.2464656113837913E-3</v>
      </c>
      <c r="AD279" s="25">
        <f t="shared" ref="AD279" si="1982">LN(U279/C279)</f>
        <v>4.3006229732323363E-3</v>
      </c>
      <c r="AE279" s="25">
        <f t="shared" ref="AE279" si="1983">LN(V279/C279)</f>
        <v>-1.8616016707505211E-4</v>
      </c>
      <c r="AF279" s="25">
        <f t="shared" ref="AF279" si="1984">LN(N279/C279)</f>
        <v>4.0603054443087922E-3</v>
      </c>
      <c r="AG279" s="25">
        <f t="shared" ref="AG279" si="1985">LN(N279/N278)</f>
        <v>4.3998296638248311E-3</v>
      </c>
      <c r="AH279" s="25">
        <f t="shared" ref="AH279" si="1986">LN(D279/C279)</f>
        <v>1.0870689442770867E-3</v>
      </c>
      <c r="AI279" s="25">
        <f t="shared" ref="AI279" si="1987">LN(E279/C279)</f>
        <v>1.1855402512492865E-3</v>
      </c>
      <c r="AJ279" s="25">
        <f t="shared" ref="AJ279" si="1988">LN(F279/C279)</f>
        <v>-1.2788288545229314E-5</v>
      </c>
      <c r="AK279" s="25">
        <f t="shared" ref="AK279" si="1989">+LN(G279/C279)</f>
        <v>2.5870283791179869E-3</v>
      </c>
      <c r="AL279" s="25">
        <f t="shared" ref="AL279" si="1990">LN(H279/I279)</f>
        <v>4.1409046156876614E-3</v>
      </c>
      <c r="AM279" s="25">
        <f t="shared" ref="AM279" si="1991">LN(O279/P279)</f>
        <v>3.7194026268665709E-3</v>
      </c>
      <c r="AN279" s="25">
        <f t="shared" ref="AN279" si="1992">LN(L279/G279)</f>
        <v>0</v>
      </c>
      <c r="AO279" s="40">
        <f t="shared" ref="AO279" si="1993">(C279-I279)/(H279-I279)</f>
        <v>4.4867560981157496E-2</v>
      </c>
      <c r="AP279" s="40">
        <f t="shared" ref="AP279" si="1994">(N278-I279)/(H279-I279)</f>
        <v>-3.6956901329335386E-2</v>
      </c>
      <c r="AQ279" s="25">
        <f t="shared" ref="AQ279" si="1995">LN(M279/L279)</f>
        <v>-8.5126550341710718E-4</v>
      </c>
      <c r="AR279" s="25">
        <f t="shared" ref="AR279" si="1996">LN(N279/L279)</f>
        <v>1.4732770651907851E-3</v>
      </c>
      <c r="AS279" s="25">
        <f t="shared" ref="AS279" si="1997">LN(N279/C279)</f>
        <v>4.0603054443087922E-3</v>
      </c>
      <c r="AT279" s="28">
        <f t="shared" ref="AT279" si="1998">+(G279-I279)/(H279-I279)</f>
        <v>0.66924787998877222</v>
      </c>
      <c r="AU279" s="28">
        <f t="shared" ref="AU279" si="1999">+(N279-P279)/(O279-P279)</f>
        <v>0.93527568234230507</v>
      </c>
      <c r="AV279" s="40">
        <f t="shared" ref="AV279" si="2000">+(N279-V279)/(U279-V279)</f>
        <v>0.94632499229411138</v>
      </c>
      <c r="AW279" s="25">
        <f t="shared" ref="AW279" si="2001">LN(N279/C279)</f>
        <v>4.0603054443087922E-3</v>
      </c>
      <c r="AX279" s="28">
        <f t="shared" ref="AX279" si="2002">(N279-L279)/(U279-V279)</f>
        <v>0.32877518424076796</v>
      </c>
      <c r="AY279" s="25">
        <f t="shared" ref="AY279" si="2003">LN(G279/I279)</f>
        <v>2.7731885461929327E-3</v>
      </c>
      <c r="AZ279" s="25">
        <f t="shared" ref="AZ279" si="2004">LN(N279/P279)</f>
        <v>3.4790850979431937E-3</v>
      </c>
      <c r="BA279" s="25">
        <f t="shared" ref="BA279" si="2005">AV278</f>
        <v>0.12512150654679646</v>
      </c>
      <c r="BB279" s="25">
        <f t="shared" ref="BB279" si="2006">AR278</f>
        <v>-5.9414751870804439E-3</v>
      </c>
      <c r="BC279" s="25">
        <f t="shared" ref="BC279" si="2007">AS278</f>
        <v>-3.0609678107557858E-3</v>
      </c>
      <c r="BD279" s="39">
        <f t="shared" ref="BD279" si="2008">IF(AR278&lt;0,1,0)</f>
        <v>1</v>
      </c>
      <c r="BE279" t="str">
        <f t="shared" ref="BE279" si="2009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10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11">IF(B279=3,IF(AV278&lt;0.85,IF(AND(K279&gt;942,AT279&gt;0.9),0.25,1)*IF(AR278&lt;-0.004,1,0.5),0),"")</f>
        <v/>
      </c>
      <c r="BH279">
        <f t="shared" ref="BH279" si="2012">IF(B279=4,IF(AV278&lt;0.6,IF(AQ279&gt;=0,IF(K279&lt;1018,2,1),0),IF(AV278&gt;0.85,IF(AQ279&lt;=0,-0.5,0),0)),"")</f>
        <v>0</v>
      </c>
      <c r="BI279" t="str">
        <f t="shared" ref="BI279" si="2013">IF(B279=5,IF(AV278&lt;0.4,IF(AQ279&gt; -0.004,1,0),IF(AV278&lt;0.95,IF(AND(AO279&lt;0.85,AT279&lt;0.95,AQ279&gt;0,K279&lt;1115),0.5,0),0)),"")</f>
        <v/>
      </c>
      <c r="BJ279" s="25" t="str">
        <f t="shared" ref="BJ279" si="2014">IF(MAX(BE279:BI279)=0,"",MAX(BE279:BI279)*AR279)</f>
        <v/>
      </c>
    </row>
    <row r="280" spans="1:62">
      <c r="A280" s="1">
        <v>42916</v>
      </c>
      <c r="B280" s="41">
        <f t="shared" si="24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52"/>
        <v>3145.7676799999999</v>
      </c>
      <c r="T280" t="str">
        <f t="shared" ref="T280" si="2015">IF(AVERAGE(N279)&lt;S279,"熊",IF(AVERAGE(N279)&gt;S279,"牛",""))</f>
        <v>牛</v>
      </c>
      <c r="U280">
        <f t="shared" ref="U280" si="2016">MAX(H280,O280)</f>
        <v>3193.0587</v>
      </c>
      <c r="V280">
        <f t="shared" ref="V280" si="2017">MIN(I280,P280)</f>
        <v>3171.6046999999999</v>
      </c>
      <c r="W280" s="40">
        <f t="shared" ref="W280" si="2018">LN(U280/V280)</f>
        <v>6.7416232116972903E-3</v>
      </c>
      <c r="X280">
        <f t="shared" ref="X280" si="2019">IF(U280=H280,J280,Q280)</f>
        <v>1445</v>
      </c>
      <c r="Y280">
        <f t="shared" ref="Y280" si="2020">IF(V280=I280,K280,R280)</f>
        <v>1059</v>
      </c>
      <c r="Z280" s="25">
        <f t="shared" ref="Z280" si="2021">(U280-V280)/(C280)</f>
        <v>6.7530218702660516E-3</v>
      </c>
      <c r="AA280" s="25">
        <f t="shared" ref="AA280" si="2022">LN(C280/N279)</f>
        <v>-3.4409660275925283E-3</v>
      </c>
      <c r="AB280" s="25">
        <f t="shared" ref="AB280" si="2023">LN(N280/U280)</f>
        <v>-6.2489402495661357E-4</v>
      </c>
      <c r="AC280" s="25">
        <f t="shared" ref="AC280" si="2024">LN(N280/V280)</f>
        <v>6.1167291867406824E-3</v>
      </c>
      <c r="AD280" s="25">
        <f t="shared" ref="AD280" si="2025">LN(U280/C280)</f>
        <v>5.05827854083716E-3</v>
      </c>
      <c r="AE280" s="25">
        <f t="shared" ref="AE280" si="2026">LN(V280/C280)</f>
        <v>-1.6833446708600717E-3</v>
      </c>
      <c r="AF280" s="25">
        <f t="shared" ref="AF280" si="2027">LN(N280/C280)</f>
        <v>4.4333845158807395E-3</v>
      </c>
      <c r="AG280" s="25">
        <f t="shared" ref="AG280" si="2028">LN(N280/N279)</f>
        <v>9.9241848828805117E-4</v>
      </c>
      <c r="AH280" s="25">
        <f t="shared" ref="AH280" si="2029">LN(D280/C280)</f>
        <v>-7.7503750316489973E-4</v>
      </c>
      <c r="AI280" s="25">
        <f t="shared" ref="AI280" si="2030">LN(E280/C280)</f>
        <v>-5.8270994827327126E-4</v>
      </c>
      <c r="AJ280" s="25">
        <f t="shared" ref="AJ280" si="2031">LN(F280/C280)</f>
        <v>1.1930734633099046E-3</v>
      </c>
      <c r="AK280" s="25">
        <f t="shared" ref="AK280" si="2032">+LN(G280/C280)</f>
        <v>1.7177838301662078E-3</v>
      </c>
      <c r="AL280" s="25">
        <f t="shared" ref="AL280" si="2033">LN(H280/I280)</f>
        <v>3.6295142129658896E-3</v>
      </c>
      <c r="AM280" s="25">
        <f t="shared" ref="AM280" si="2034">LN(O280/P280)</f>
        <v>4.0024134907710633E-3</v>
      </c>
      <c r="AN280" s="25">
        <f t="shared" ref="AN280" si="2035">LN(L280/G280)</f>
        <v>0</v>
      </c>
      <c r="AO280" s="40">
        <f t="shared" ref="AO280" si="2036">(C280-I280)/(H280-I280)</f>
        <v>0.46334209134344928</v>
      </c>
      <c r="AP280" s="40">
        <f t="shared" ref="AP280" si="2037">(N279-I280)/(H280-I280)</f>
        <v>1.4129011558838993</v>
      </c>
      <c r="AQ280" s="25">
        <f t="shared" ref="AQ280" si="2038">LN(M280/L280)</f>
        <v>-2.6995765002989984E-4</v>
      </c>
      <c r="AR280" s="25">
        <f t="shared" ref="AR280" si="2039">LN(N280/L280)</f>
        <v>2.7156006857145341E-3</v>
      </c>
      <c r="AS280" s="25">
        <f t="shared" ref="AS280" si="2040">LN(N280/C280)</f>
        <v>4.4333845158807395E-3</v>
      </c>
      <c r="AT280" s="28">
        <f t="shared" ref="AT280" si="2041">+(G280-I280)/(H280-I280)</f>
        <v>0.93696834109413607</v>
      </c>
      <c r="AU280" s="28">
        <f t="shared" ref="AU280" si="2042">+(N280-P280)/(O280-P280)</f>
        <v>0.84360691212443129</v>
      </c>
      <c r="AV280" s="40">
        <f t="shared" ref="AV280" si="2043">+(N280-V280)/(U280-V280)</f>
        <v>0.90702433112705427</v>
      </c>
      <c r="AW280" s="25">
        <f t="shared" ref="AW280" si="2044">LN(N280/C280)</f>
        <v>4.4333845158807395E-3</v>
      </c>
      <c r="AX280" s="28">
        <f t="shared" ref="AX280" si="2045">(N280-L280)/(U280-V280)</f>
        <v>0.40337000093221415</v>
      </c>
      <c r="AY280" s="25">
        <f t="shared" ref="AY280" si="2046">LN(G280/I280)</f>
        <v>3.4011285010261921E-3</v>
      </c>
      <c r="AZ280" s="25">
        <f t="shared" ref="AZ280" si="2047">LN(N280/P280)</f>
        <v>3.3775194658144762E-3</v>
      </c>
      <c r="BA280" s="25">
        <f t="shared" ref="BA280" si="2048">AV279</f>
        <v>0.94632499229411138</v>
      </c>
      <c r="BB280" s="25">
        <f t="shared" ref="BB280" si="2049">AR279</f>
        <v>1.4732770651907851E-3</v>
      </c>
      <c r="BC280" s="25">
        <f t="shared" ref="BC280" si="2050">AS279</f>
        <v>4.0603054443087922E-3</v>
      </c>
      <c r="BD280" s="39">
        <f t="shared" ref="BD280" si="2051">IF(AR279&lt;0,1,0)</f>
        <v>0</v>
      </c>
      <c r="BE280" t="str">
        <f t="shared" ref="BE280" si="2052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53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54">IF(B280=3,IF(AV279&lt;0.85,IF(AND(K280&gt;942,AT280&gt;0.9),0.25,1)*IF(AR279&lt;-0.004,1,0.5),0),"")</f>
        <v/>
      </c>
      <c r="BH280" t="str">
        <f t="shared" ref="BH280" si="2055">IF(B280=4,IF(AV279&lt;0.6,IF(AQ280&gt;=0,IF(K280&lt;1018,2,1),0),IF(AV279&gt;0.85,IF(AQ280&lt;=0,-0.5,0),0)),"")</f>
        <v/>
      </c>
      <c r="BI280">
        <f t="shared" ref="BI280" si="2056">IF(B280=5,IF(AV279&lt;0.4,IF(AQ280&gt; -0.004,1,0),IF(AV279&lt;0.95,IF(AND(AO280&lt;0.85,AT280&lt;0.95,AQ280&gt;0,K280&lt;1115),0.5,0),0)),"")</f>
        <v>0</v>
      </c>
      <c r="BJ280" s="25" t="str">
        <f t="shared" ref="BJ280" si="2057">IF(MAX(BE280:BI280)=0,"",MAX(BE280:BI280)*AR280)</f>
        <v/>
      </c>
    </row>
    <row r="281" spans="1:62">
      <c r="A281" s="1">
        <v>42919</v>
      </c>
      <c r="B281" s="41">
        <f t="shared" si="248"/>
        <v>1</v>
      </c>
    </row>
    <row r="282" spans="1:62">
      <c r="A282" s="1">
        <v>42920</v>
      </c>
      <c r="B282" s="41">
        <f t="shared" si="248"/>
        <v>2</v>
      </c>
    </row>
    <row r="283" spans="1:62">
      <c r="A283" s="1">
        <v>42921</v>
      </c>
      <c r="B283" s="41">
        <f t="shared" si="248"/>
        <v>3</v>
      </c>
    </row>
    <row r="284" spans="1:62">
      <c r="A284" s="1">
        <v>42922</v>
      </c>
      <c r="B284" s="41">
        <f t="shared" si="248"/>
        <v>4</v>
      </c>
    </row>
    <row r="285" spans="1:62">
      <c r="A285" s="1">
        <v>42923</v>
      </c>
      <c r="B285" s="41">
        <f t="shared" si="24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68"/>
  <sheetViews>
    <sheetView zoomScale="115" zoomScaleNormal="115" workbookViewId="0">
      <pane xSplit="1" ySplit="2" topLeftCell="B335" activePane="bottomRight" state="frozen"/>
      <selection pane="topRight" activeCell="B1" sqref="B1"/>
      <selection pane="bottomLeft" activeCell="A3" sqref="A3"/>
      <selection pane="bottomRight" activeCell="A364" sqref="A364"/>
    </sheetView>
  </sheetViews>
  <sheetFormatPr defaultRowHeight="13.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>
      <c r="J1" t="s">
        <v>229</v>
      </c>
    </row>
    <row r="2" spans="1:14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>
      <c r="A56" s="1">
        <v>42480</v>
      </c>
      <c r="B56">
        <v>9.9700000000000006</v>
      </c>
      <c r="M56">
        <f t="shared" si="5"/>
        <v>3</v>
      </c>
    </row>
    <row r="57" spans="1:13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63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>
      <c r="A364" s="1">
        <v>42919</v>
      </c>
    </row>
    <row r="365" spans="1:14">
      <c r="A365" s="1">
        <v>42920</v>
      </c>
    </row>
    <row r="366" spans="1:14">
      <c r="A366" s="1">
        <v>42921</v>
      </c>
    </row>
    <row r="367" spans="1:14">
      <c r="A367" s="1">
        <v>42922</v>
      </c>
    </row>
    <row r="368" spans="1:14">
      <c r="A368" s="1">
        <v>42923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67"/>
  <sheetViews>
    <sheetView zoomScale="115" zoomScaleNormal="115" workbookViewId="0">
      <pane xSplit="1" ySplit="2" topLeftCell="B334" activePane="bottomRight" state="frozen"/>
      <selection pane="topRight" activeCell="B1" sqref="B1"/>
      <selection pane="bottomLeft" activeCell="A3" sqref="A3"/>
      <selection pane="bottomRight" activeCell="A363" sqref="A363:A367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>
      <c r="J1" t="s">
        <v>229</v>
      </c>
    </row>
    <row r="2" spans="1:14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>
      <c r="A55" s="1">
        <v>42480</v>
      </c>
      <c r="B55">
        <v>11.24</v>
      </c>
      <c r="M55">
        <f t="shared" si="5"/>
        <v>3</v>
      </c>
    </row>
    <row r="56" spans="1:13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3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3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3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3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62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3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3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3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3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3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3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</row>
    <row r="363" spans="1:13">
      <c r="A363" s="1">
        <v>42919</v>
      </c>
    </row>
    <row r="364" spans="1:13">
      <c r="A364" s="1">
        <v>42920</v>
      </c>
    </row>
    <row r="365" spans="1:13">
      <c r="A365" s="1">
        <v>42921</v>
      </c>
    </row>
    <row r="366" spans="1:13">
      <c r="A366" s="1">
        <v>42922</v>
      </c>
    </row>
    <row r="367" spans="1:13">
      <c r="A367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68"/>
  <sheetViews>
    <sheetView zoomScale="115" zoomScaleNormal="115" workbookViewId="0">
      <pane xSplit="1" ySplit="2" topLeftCell="B342" activePane="bottomRight" state="frozen"/>
      <selection pane="topRight" activeCell="B1" sqref="B1"/>
      <selection pane="bottomLeft" activeCell="A3" sqref="A3"/>
      <selection pane="bottomRight" activeCell="A364" sqref="A364:A368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>
      <c r="J1" t="s">
        <v>217</v>
      </c>
    </row>
    <row r="2" spans="1:13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>
      <c r="A56" s="1">
        <v>42480</v>
      </c>
      <c r="M56">
        <f t="shared" si="5"/>
        <v>3</v>
      </c>
    </row>
    <row r="57" spans="1:13">
      <c r="A57" s="1">
        <v>42481</v>
      </c>
      <c r="B57">
        <v>9.75</v>
      </c>
      <c r="M57">
        <f t="shared" si="5"/>
        <v>4</v>
      </c>
    </row>
    <row r="58" spans="1:13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63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>
      <c r="A364" s="1">
        <v>42919</v>
      </c>
    </row>
    <row r="365" spans="1:13">
      <c r="A365" s="1">
        <v>42920</v>
      </c>
    </row>
    <row r="366" spans="1:13">
      <c r="A366" s="1">
        <v>42921</v>
      </c>
    </row>
    <row r="367" spans="1:13">
      <c r="A367" s="1">
        <v>42922</v>
      </c>
    </row>
    <row r="368" spans="1:13">
      <c r="A368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68"/>
  <sheetViews>
    <sheetView zoomScale="115" zoomScaleNormal="115" workbookViewId="0">
      <pane xSplit="1" ySplit="2" topLeftCell="B335" activePane="bottomRight" state="frozen"/>
      <selection pane="topRight" activeCell="B1" sqref="B1"/>
      <selection pane="bottomLeft" activeCell="A3" sqref="A3"/>
      <selection pane="bottomRight" activeCell="A364" sqref="A364:A368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>
      <c r="H1" t="s">
        <v>140</v>
      </c>
      <c r="J1" t="s">
        <v>218</v>
      </c>
    </row>
    <row r="2" spans="1: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>
      <c r="A56" s="1">
        <v>42480</v>
      </c>
      <c r="M56">
        <f t="shared" si="5"/>
        <v>3</v>
      </c>
    </row>
    <row r="57" spans="1:13">
      <c r="A57" s="1">
        <v>42481</v>
      </c>
      <c r="B57">
        <v>39</v>
      </c>
      <c r="M57">
        <f t="shared" si="5"/>
        <v>4</v>
      </c>
    </row>
    <row r="58" spans="1:13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(+B238/(D238*(1-VLOOKUP(A238,FX!A:K,9,0)))-1)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>(+B239/(D239*(1-VLOOKUP(A239,FX!A:K,9,0)))-1)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>(+B240/(D240*(1-VLOOKUP(A240,FX!A:K,9,0)))-1)</f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>(+B241/(D241*(1-VLOOKUP(A241,FX!A:K,9,0)))-1)</f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5">+B242/D242-1</f>
        <v>-2.9016584841882187E-3</v>
      </c>
      <c r="H242" s="42">
        <f>(+B242/(D242*(1-VLOOKUP(A242,FX!A:K,9,0)))-1)</f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5"/>
        <v>-5.1978499150262536E-3</v>
      </c>
      <c r="H243" s="42">
        <f>(+B243/(D243*(1-VLOOKUP(A243,FX!A:K,9,0)))-1)</f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5"/>
        <v>4.5083539260981631E-3</v>
      </c>
      <c r="H244" s="42">
        <f>(+B244/(D244*(1-VLOOKUP(A244,FX!A:K,9,0)))-1)</f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5"/>
        <v>3.1084641465837226E-3</v>
      </c>
      <c r="H245" s="42">
        <f>(+B245/(D245*(1-VLOOKUP(A245,FX!A:K,9,0)))-1)</f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5"/>
        <v>1.3201614063560463E-3</v>
      </c>
      <c r="H246" s="42">
        <f>(+B246/(D246*(1-VLOOKUP(A246,FX!A:K,9,0)))-1)</f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5"/>
        <v>-1.6616142941423551E-3</v>
      </c>
      <c r="H247" s="42">
        <f>(+B247/(D247*(1-VLOOKUP(A247,FX!A:K,9,0)))-1)</f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5"/>
        <v>3.1757341817417739E-4</v>
      </c>
      <c r="H248" s="42">
        <f>(+B248/(D248*(1-VLOOKUP(A248,FX!A:K,9,0)))-1)</f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>
      <c r="A249" s="1">
        <v>42754</v>
      </c>
      <c r="B249">
        <v>38.65</v>
      </c>
      <c r="C249" s="25">
        <f t="shared" ref="C249:C280" si="76">B249/B248-1</f>
        <v>-1.2919896640828377E-3</v>
      </c>
      <c r="D249" s="26">
        <f t="shared" ref="D249:D269" si="77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5"/>
        <v>-6.3296570385062978E-7</v>
      </c>
      <c r="H249" s="42">
        <f>(+B249/(D249*(1-VLOOKUP(A249,FX!A:K,9,0)))-1)</f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>
      <c r="A250" s="1">
        <v>42755</v>
      </c>
      <c r="B250">
        <v>38.950000000000003</v>
      </c>
      <c r="C250" s="25">
        <f t="shared" si="76"/>
        <v>7.7619663648125226E-3</v>
      </c>
      <c r="D250" s="26">
        <f t="shared" si="77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5"/>
        <v>1.1081585773877745E-3</v>
      </c>
      <c r="H250" s="42">
        <f>(+B250/(D250*(1-VLOOKUP(A250,FX!A:K,9,0)))-1)</f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>
      <c r="A251" s="1">
        <v>42758</v>
      </c>
      <c r="B251">
        <v>39.1</v>
      </c>
      <c r="C251" s="25">
        <f t="shared" si="76"/>
        <v>3.8510911424902705E-3</v>
      </c>
      <c r="D251" s="26">
        <f t="shared" si="77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5"/>
        <v>3.323559436705148E-3</v>
      </c>
      <c r="H251" s="42">
        <f>(+B251/(D251*(1-VLOOKUP(A251,FX!A:K,9,0)))-1)</f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>
      <c r="A252" s="1">
        <v>42759</v>
      </c>
      <c r="B252">
        <v>39.1</v>
      </c>
      <c r="C252" s="25">
        <f t="shared" si="76"/>
        <v>0</v>
      </c>
      <c r="D252" s="26">
        <f t="shared" si="77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5"/>
        <v>-3.1454231551897305E-4</v>
      </c>
      <c r="H252" s="42">
        <f>(+B252/(D252*(1-VLOOKUP(A252,FX!A:K,9,0)))-1)</f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>
      <c r="A253" s="1">
        <v>42760</v>
      </c>
      <c r="B253">
        <v>39.200000000000003</v>
      </c>
      <c r="C253" s="25">
        <f t="shared" si="76"/>
        <v>2.5575447570331811E-3</v>
      </c>
      <c r="D253" s="26">
        <f t="shared" si="77"/>
        <v>39.266216980191331</v>
      </c>
      <c r="E253" s="26">
        <f>D253*(1-VLOOKUP(A253,FX!A:K,9,0))</f>
        <v>39.193400208576989</v>
      </c>
      <c r="F253">
        <v>39.195</v>
      </c>
      <c r="G253" s="25">
        <f t="shared" si="75"/>
        <v>-1.6863600642947896E-3</v>
      </c>
      <c r="H253" s="42">
        <f>(+B253/(D253*(1-VLOOKUP(A253,FX!A:K,9,0)))-1)</f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>
      <c r="A254" s="1">
        <v>42761</v>
      </c>
      <c r="B254">
        <v>39.5</v>
      </c>
      <c r="C254" s="25">
        <f t="shared" si="76"/>
        <v>7.6530612244898322E-3</v>
      </c>
      <c r="D254" s="26">
        <f t="shared" si="77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5"/>
        <v>4.1953121637088309E-3</v>
      </c>
      <c r="H254" s="42">
        <f>(+B254/(D254*(1-VLOOKUP(A254,FX!A:K,9,0)))-1)</f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>
      <c r="A255" s="1">
        <v>42762</v>
      </c>
      <c r="B255">
        <v>39.299999999999997</v>
      </c>
      <c r="C255" s="25">
        <f t="shared" si="76"/>
        <v>-5.0632911392405333E-3</v>
      </c>
      <c r="D255" s="26">
        <f t="shared" si="77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5"/>
        <v>-1.0167768174886849E-3</v>
      </c>
      <c r="H255" s="42">
        <f>(+B255/(D255*(1-VLOOKUP(A255,FX!A:K,9,0)))-1)</f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>
      <c r="A256" s="1">
        <v>42767</v>
      </c>
      <c r="B256">
        <v>39.5</v>
      </c>
      <c r="C256" s="25">
        <f t="shared" si="76"/>
        <v>5.0890585241731845E-3</v>
      </c>
      <c r="D256" s="26">
        <f t="shared" si="77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5"/>
        <v>4.0671072699540733E-3</v>
      </c>
      <c r="H256" s="42">
        <f>(+B256/(D256*(1-VLOOKUP(A256,FX!A:K,9,0)))-1)</f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>
      <c r="A257" s="1">
        <v>42768</v>
      </c>
      <c r="B257">
        <v>39.4</v>
      </c>
      <c r="C257" s="25">
        <f t="shared" si="76"/>
        <v>-2.5316455696202667E-3</v>
      </c>
      <c r="D257" s="26">
        <f t="shared" si="77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5"/>
        <v>1.5251652262326942E-3</v>
      </c>
      <c r="H257" s="42">
        <f>(+B257/(D257*(1-VLOOKUP(A257,FX!A:K,9,0)))-1)</f>
        <v>-1.4014331986638151E-3</v>
      </c>
      <c r="I257" s="25">
        <f t="shared" ref="I257:I263" si="78">+B257/F257-1</f>
        <v>1.5251652262326942E-3</v>
      </c>
      <c r="J257">
        <v>3387.9605999999999</v>
      </c>
      <c r="K257">
        <v>3387.9605999999999</v>
      </c>
      <c r="L257" s="25">
        <f t="shared" ref="L257:L271" si="79">+K257/J257-1</f>
        <v>0</v>
      </c>
      <c r="M257">
        <f t="shared" si="74"/>
        <v>4</v>
      </c>
      <c r="N257" t="s">
        <v>155</v>
      </c>
    </row>
    <row r="258" spans="1:14">
      <c r="A258" s="1">
        <v>42769</v>
      </c>
      <c r="B258">
        <v>39.15</v>
      </c>
      <c r="C258" s="25">
        <f t="shared" si="76"/>
        <v>-6.3451776649746661E-3</v>
      </c>
      <c r="D258" s="26">
        <f t="shared" si="77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5"/>
        <v>2.1119088208159109E-3</v>
      </c>
      <c r="H258" s="42">
        <f>(+B258/(D258*(1-VLOOKUP(A258,FX!A:K,9,0)))-1)</f>
        <v>3.1124170569469811E-3</v>
      </c>
      <c r="I258" s="25">
        <f t="shared" si="78"/>
        <v>1.1251470362603211E-3</v>
      </c>
      <c r="J258">
        <v>3387.9605999999999</v>
      </c>
      <c r="K258">
        <v>3364.4922999999999</v>
      </c>
      <c r="L258" s="25">
        <f t="shared" si="79"/>
        <v>-6.9269695757382399E-3</v>
      </c>
      <c r="M258">
        <f t="shared" ref="M258:M281" si="80">WEEKDAY(A258,2)</f>
        <v>5</v>
      </c>
    </row>
    <row r="259" spans="1:14">
      <c r="A259" s="1">
        <v>42772</v>
      </c>
      <c r="B259">
        <v>39.299999999999997</v>
      </c>
      <c r="C259" s="25">
        <f t="shared" si="76"/>
        <v>3.8314176245211051E-3</v>
      </c>
      <c r="D259" s="26">
        <f t="shared" si="77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5"/>
        <v>2.3651178675867524E-3</v>
      </c>
      <c r="H259" s="42">
        <f>(+B259/(D259*(1-VLOOKUP(A259,FX!A:K,9,0)))-1)</f>
        <v>-1.1527676420153288E-4</v>
      </c>
      <c r="I259" s="25">
        <f t="shared" si="78"/>
        <v>4.0729049994903122E-4</v>
      </c>
      <c r="J259">
        <v>3364.4922999999999</v>
      </c>
      <c r="K259">
        <v>3373.2051000000001</v>
      </c>
      <c r="L259" s="25">
        <f t="shared" si="79"/>
        <v>2.5896329143033636E-3</v>
      </c>
      <c r="M259">
        <f t="shared" si="80"/>
        <v>1</v>
      </c>
    </row>
    <row r="260" spans="1:14">
      <c r="A260" s="1">
        <v>42773</v>
      </c>
      <c r="B260">
        <v>39.049999999999997</v>
      </c>
      <c r="C260" s="25">
        <f t="shared" si="76"/>
        <v>-6.3613231552163141E-3</v>
      </c>
      <c r="D260" s="26">
        <f t="shared" si="77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5"/>
        <v>-3.7355585418271664E-3</v>
      </c>
      <c r="H260" s="42">
        <f>(+B260/(D260*(1-VLOOKUP(A260,FX!A:K,9,0)))-1)</f>
        <v>-1.830290336593321E-3</v>
      </c>
      <c r="I260" s="25">
        <f t="shared" si="78"/>
        <v>-2.0189629175292323E-3</v>
      </c>
      <c r="J260">
        <v>3373.2051000000001</v>
      </c>
      <c r="K260">
        <v>3365.6849000000002</v>
      </c>
      <c r="L260" s="25">
        <f t="shared" si="79"/>
        <v>-2.22939304817249E-3</v>
      </c>
      <c r="M260">
        <f t="shared" si="80"/>
        <v>2</v>
      </c>
    </row>
    <row r="261" spans="1:14">
      <c r="A261" s="1">
        <v>42774</v>
      </c>
      <c r="B261">
        <v>39.1</v>
      </c>
      <c r="C261" s="25">
        <f t="shared" si="76"/>
        <v>1.2804097311140961E-3</v>
      </c>
      <c r="D261" s="26">
        <f t="shared" si="77"/>
        <v>39.333648948004601</v>
      </c>
      <c r="E261" s="26">
        <f>D261*(1-VLOOKUP(A261,FX!A:K,9,0))</f>
        <v>39.183345593552893</v>
      </c>
      <c r="F261">
        <v>39.186</v>
      </c>
      <c r="G261" s="25">
        <f t="shared" si="75"/>
        <v>-5.9401798270346529E-3</v>
      </c>
      <c r="H261" s="42">
        <f>(+B261/(D261*(1-VLOOKUP(A261,FX!A:K,9,0)))-1)</f>
        <v>-2.1270668007125071E-3</v>
      </c>
      <c r="I261" s="25">
        <f t="shared" si="78"/>
        <v>-2.1946613586484309E-3</v>
      </c>
      <c r="J261">
        <v>3365.6849000000002</v>
      </c>
      <c r="K261">
        <v>3383.2878000000001</v>
      </c>
      <c r="L261" s="25">
        <f t="shared" si="79"/>
        <v>5.2301093307931534E-3</v>
      </c>
      <c r="M261">
        <f t="shared" si="80"/>
        <v>3</v>
      </c>
      <c r="N261" t="s">
        <v>172</v>
      </c>
    </row>
    <row r="262" spans="1:14">
      <c r="A262" s="1">
        <v>42775</v>
      </c>
      <c r="B262">
        <v>39.25</v>
      </c>
      <c r="C262" s="25">
        <f t="shared" si="76"/>
        <v>3.8363171355497716E-3</v>
      </c>
      <c r="D262" s="26">
        <f t="shared" si="77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5"/>
        <v>-2.2020752244271691E-3</v>
      </c>
      <c r="H262" s="42">
        <f>(+B262/(D262*(1-VLOOKUP(A262,FX!A:K,9,0)))-1)</f>
        <v>-1.1517154541007546E-3</v>
      </c>
      <c r="I262" s="25">
        <f t="shared" si="78"/>
        <v>-1.2976769038955949E-3</v>
      </c>
      <c r="J262">
        <v>3383.2878000000001</v>
      </c>
      <c r="K262">
        <v>3396.2923999999998</v>
      </c>
      <c r="L262" s="25">
        <f t="shared" si="79"/>
        <v>3.8437758679588097E-3</v>
      </c>
      <c r="M262">
        <f t="shared" si="80"/>
        <v>4</v>
      </c>
    </row>
    <row r="263" spans="1:14">
      <c r="A263" s="1">
        <v>42776</v>
      </c>
      <c r="B263">
        <v>39.549999999999997</v>
      </c>
      <c r="C263" s="25">
        <f t="shared" si="76"/>
        <v>7.6433121019108263E-3</v>
      </c>
      <c r="D263" s="26">
        <f t="shared" si="77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5"/>
        <v>1.2666070077143043E-3</v>
      </c>
      <c r="H263" s="42">
        <f>(+B263/(D263*(1-VLOOKUP(A263,FX!A:K,9,0)))-1)</f>
        <v>3.6225467358526053E-3</v>
      </c>
      <c r="I263" s="25">
        <f t="shared" si="78"/>
        <v>3.4250919700620219E-3</v>
      </c>
      <c r="J263">
        <v>3396.2923999999998</v>
      </c>
      <c r="K263">
        <v>3413.4868000000001</v>
      </c>
      <c r="L263" s="25">
        <f t="shared" si="79"/>
        <v>5.0626971929743636E-3</v>
      </c>
      <c r="M263">
        <f t="shared" si="80"/>
        <v>5</v>
      </c>
      <c r="N263" t="s">
        <v>179</v>
      </c>
    </row>
    <row r="264" spans="1:14">
      <c r="A264" s="1">
        <v>42779</v>
      </c>
      <c r="B264">
        <v>39.700000000000003</v>
      </c>
      <c r="C264" s="25">
        <f t="shared" si="76"/>
        <v>3.7926675094817064E-3</v>
      </c>
      <c r="D264" s="26">
        <f t="shared" si="77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5"/>
        <v>5.5114002948197793E-4</v>
      </c>
      <c r="H264" s="42">
        <f>(+B264/(D264*(1-VLOOKUP(A264,FX!A:K,9,0)))-1)</f>
        <v>2.5785999721321673E-3</v>
      </c>
      <c r="I264" s="25">
        <f t="shared" ref="I264:I298" si="81">+B264/F264-1</f>
        <v>2.4239975760025345E-3</v>
      </c>
      <c r="J264">
        <v>3413.4868000000001</v>
      </c>
      <c r="K264">
        <v>3436.2750000000001</v>
      </c>
      <c r="L264" s="25">
        <f t="shared" si="79"/>
        <v>6.6759303126644465E-3</v>
      </c>
      <c r="M264">
        <f t="shared" si="80"/>
        <v>1</v>
      </c>
    </row>
    <row r="265" spans="1:14">
      <c r="A265" s="1">
        <v>42780</v>
      </c>
      <c r="B265">
        <v>39.700000000000003</v>
      </c>
      <c r="C265" s="25">
        <f t="shared" si="76"/>
        <v>0</v>
      </c>
      <c r="D265" s="26">
        <f t="shared" si="77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5"/>
        <v>2.5613573295237835E-3</v>
      </c>
      <c r="H265" s="42">
        <f>(+B265/(D265*(1-VLOOKUP(A265,FX!A:K,9,0)))-1)</f>
        <v>1.4660198284444093E-5</v>
      </c>
      <c r="I265" s="25">
        <f t="shared" si="81"/>
        <v>-2.0147073637544199E-4</v>
      </c>
      <c r="J265">
        <v>3436.2750000000001</v>
      </c>
      <c r="K265">
        <v>3435.8042</v>
      </c>
      <c r="L265" s="25">
        <f t="shared" si="79"/>
        <v>-1.3700882496314737E-4</v>
      </c>
      <c r="M265">
        <f t="shared" si="80"/>
        <v>2</v>
      </c>
    </row>
    <row r="266" spans="1:14">
      <c r="A266" s="1">
        <v>42781</v>
      </c>
      <c r="B266">
        <v>39.549999999999997</v>
      </c>
      <c r="C266" s="25">
        <f t="shared" si="76"/>
        <v>-3.7783375314862644E-3</v>
      </c>
      <c r="D266" s="26">
        <f t="shared" si="77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5"/>
        <v>1.2270855093921007E-4</v>
      </c>
      <c r="H266" s="42">
        <f>(+B266/(D266*(1-VLOOKUP(A266,FX!A:K,9,0)))-1)</f>
        <v>-1.4644530087617458E-3</v>
      </c>
      <c r="I266" s="25">
        <f t="shared" si="81"/>
        <v>-1.4895604534324036E-3</v>
      </c>
      <c r="J266">
        <v>3435.8042</v>
      </c>
      <c r="K266">
        <v>3421.7130999999999</v>
      </c>
      <c r="L266" s="25">
        <f t="shared" si="79"/>
        <v>-4.1012523356249719E-3</v>
      </c>
      <c r="M266">
        <f t="shared" si="80"/>
        <v>3</v>
      </c>
    </row>
    <row r="267" spans="1:14">
      <c r="A267" s="1">
        <v>42782</v>
      </c>
      <c r="B267">
        <v>39.75</v>
      </c>
      <c r="C267" s="25">
        <f t="shared" si="76"/>
        <v>5.0568900126422012E-3</v>
      </c>
      <c r="D267" s="26">
        <f t="shared" si="77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5"/>
        <v>-2.0457811044318763E-3</v>
      </c>
      <c r="H267" s="42">
        <f>(+B267/(D267*(1-VLOOKUP(A267,FX!A:K,9,0)))-1)</f>
        <v>-2.8537675691996389E-3</v>
      </c>
      <c r="I267" s="25">
        <f t="shared" si="81"/>
        <v>-2.7346396046062926E-3</v>
      </c>
      <c r="J267">
        <v>3421.7130999999999</v>
      </c>
      <c r="K267">
        <v>3440.9331000000002</v>
      </c>
      <c r="L267" s="25">
        <f t="shared" si="79"/>
        <v>5.6170694147326117E-3</v>
      </c>
      <c r="M267">
        <f t="shared" si="80"/>
        <v>4</v>
      </c>
    </row>
    <row r="268" spans="1:14">
      <c r="A268" s="1">
        <v>42783</v>
      </c>
      <c r="B268">
        <v>39.6</v>
      </c>
      <c r="C268" s="25">
        <f t="shared" si="76"/>
        <v>-3.7735849056603765E-3</v>
      </c>
      <c r="D268" s="26">
        <f t="shared" si="77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5"/>
        <v>-8.381427703605393E-4</v>
      </c>
      <c r="H268" s="42">
        <f>(+B268/(D268*(1-VLOOKUP(A268,FX!A:K,9,0)))-1)</f>
        <v>-3.151784801003199E-5</v>
      </c>
      <c r="I268" s="25">
        <f t="shared" si="81"/>
        <v>7.5763315402710418E-5</v>
      </c>
      <c r="J268">
        <v>3440.9331000000002</v>
      </c>
      <c r="K268">
        <v>3421.4418999999998</v>
      </c>
      <c r="L268" s="25">
        <f t="shared" si="79"/>
        <v>-5.6645100132869386E-3</v>
      </c>
      <c r="M268">
        <f t="shared" si="80"/>
        <v>5</v>
      </c>
      <c r="N268" t="s">
        <v>201</v>
      </c>
    </row>
    <row r="269" spans="1:14">
      <c r="A269" s="1">
        <v>42786</v>
      </c>
      <c r="B269">
        <v>40.15</v>
      </c>
      <c r="C269" s="25">
        <f t="shared" si="76"/>
        <v>1.388888888888884E-2</v>
      </c>
      <c r="D269" s="26">
        <f t="shared" si="77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5"/>
        <v>-6.2449103410622264E-4</v>
      </c>
      <c r="H269" s="42">
        <f>(+B269/(D269*(1-VLOOKUP(A269,FX!A:K,9,0)))-1)</f>
        <v>-1.2004327575740881E-3</v>
      </c>
      <c r="I269" s="25">
        <f t="shared" si="81"/>
        <v>-1.2437810945274963E-3</v>
      </c>
      <c r="J269">
        <v>3421.4418999999998</v>
      </c>
      <c r="K269">
        <v>3471.3926000000001</v>
      </c>
      <c r="L269" s="25">
        <f t="shared" si="79"/>
        <v>1.4599312646519147E-2</v>
      </c>
      <c r="M269">
        <f t="shared" si="80"/>
        <v>1</v>
      </c>
    </row>
    <row r="270" spans="1:14">
      <c r="A270" s="1">
        <v>42787</v>
      </c>
      <c r="B270">
        <v>40.049999999999997</v>
      </c>
      <c r="C270" s="25">
        <f t="shared" si="76"/>
        <v>-2.4906600249066102E-3</v>
      </c>
      <c r="D270" s="26">
        <f t="shared" ref="D270:D275" si="82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3">+B270/D270-1</f>
        <v>-7.0010326286139568E-3</v>
      </c>
      <c r="H270" s="42">
        <f>(+B270/(D270*(1-VLOOKUP(A270,FX!A:K,9,0)))-1)</f>
        <v>-4.656467785421059E-3</v>
      </c>
      <c r="I270" s="25">
        <f t="shared" si="81"/>
        <v>-4.6227259170891211E-3</v>
      </c>
      <c r="J270">
        <v>3471.3926000000001</v>
      </c>
      <c r="K270">
        <v>3482.8229999999999</v>
      </c>
      <c r="L270" s="25">
        <f t="shared" si="79"/>
        <v>3.2927419387827062E-3</v>
      </c>
      <c r="M270">
        <f t="shared" si="80"/>
        <v>2</v>
      </c>
    </row>
    <row r="271" spans="1:14">
      <c r="A271" s="1">
        <v>42788</v>
      </c>
      <c r="B271">
        <v>40.25</v>
      </c>
      <c r="C271" s="25">
        <f t="shared" si="76"/>
        <v>4.993757802746579E-3</v>
      </c>
      <c r="D271" s="26">
        <f t="shared" si="82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3"/>
        <v>-1.6396162504414002E-3</v>
      </c>
      <c r="H271" s="42">
        <f>(+B271/(D271*(1-VLOOKUP(A271,FX!A:K,9,0)))-1)</f>
        <v>-1.8577568371958009E-3</v>
      </c>
      <c r="I271" s="25">
        <f t="shared" si="81"/>
        <v>-2.2805017103763037E-3</v>
      </c>
      <c r="J271">
        <v>3482.8229999999999</v>
      </c>
      <c r="K271">
        <v>3489.7566999999999</v>
      </c>
      <c r="L271" s="25">
        <f t="shared" si="79"/>
        <v>1.9908275556925759E-3</v>
      </c>
      <c r="M271">
        <f t="shared" si="80"/>
        <v>3</v>
      </c>
    </row>
    <row r="272" spans="1:14">
      <c r="A272" s="1">
        <v>42789</v>
      </c>
      <c r="B272">
        <v>40.1</v>
      </c>
      <c r="C272" s="25">
        <f t="shared" si="76"/>
        <v>-3.7267080745341241E-3</v>
      </c>
      <c r="D272" s="26">
        <f t="shared" si="82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3"/>
        <v>-1.29586024639472E-3</v>
      </c>
      <c r="H272" s="42">
        <f>(+B272/(D272*(1-VLOOKUP(A272,FX!A:K,9,0)))-1)</f>
        <v>-1.0811880572952903E-3</v>
      </c>
      <c r="I272" s="25">
        <f t="shared" si="81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0"/>
        <v>4</v>
      </c>
    </row>
    <row r="273" spans="1:14">
      <c r="A273" s="1">
        <v>42790</v>
      </c>
      <c r="B273">
        <v>40.049999999999997</v>
      </c>
      <c r="C273" s="25">
        <f t="shared" si="76"/>
        <v>-1.2468827930175452E-3</v>
      </c>
      <c r="D273" s="26">
        <f t="shared" si="82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3"/>
        <v>-2.5926187951911261E-3</v>
      </c>
      <c r="H273" s="42">
        <f>(+B273/(D273*(1-VLOOKUP(A273,FX!A:K,9,0)))-1)</f>
        <v>-3.5729431963710256E-3</v>
      </c>
      <c r="I273" s="25">
        <f t="shared" si="81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0"/>
        <v>5</v>
      </c>
    </row>
    <row r="274" spans="1:14">
      <c r="A274" s="1">
        <v>42793</v>
      </c>
      <c r="B274">
        <v>39.75</v>
      </c>
      <c r="C274" s="25">
        <f t="shared" si="76"/>
        <v>-7.4906367041197575E-3</v>
      </c>
      <c r="D274" s="26">
        <f t="shared" si="82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3"/>
        <v>-3.588842311699536E-3</v>
      </c>
      <c r="H274" s="42">
        <f>(+B274/(D274*(1-VLOOKUP(A274,FX!A:K,9,0)))-1)</f>
        <v>-3.1928146006990898E-3</v>
      </c>
      <c r="I274" s="25">
        <f t="shared" si="81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0"/>
        <v>1</v>
      </c>
    </row>
    <row r="275" spans="1:14">
      <c r="A275" s="1">
        <v>42794</v>
      </c>
      <c r="B275">
        <v>39.700000000000003</v>
      </c>
      <c r="C275" s="25">
        <f t="shared" si="76"/>
        <v>-1.2578616352200145E-3</v>
      </c>
      <c r="D275" s="26">
        <f t="shared" si="82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3"/>
        <v>-5.1405329628350094E-3</v>
      </c>
      <c r="H275" s="42">
        <f>(+B275/(D275*(1-VLOOKUP(A275,FX!A:K,9,0)))-1)</f>
        <v>-5.9667951395335761E-3</v>
      </c>
      <c r="I275" s="25">
        <f t="shared" si="81"/>
        <v>-5.9592368170664489E-3</v>
      </c>
      <c r="J275">
        <v>3446.2228</v>
      </c>
      <c r="K275">
        <v>3452.8103000000001</v>
      </c>
      <c r="L275" s="25">
        <f t="shared" ref="L275:L281" si="84">+K275/J275-1</f>
        <v>1.9115130919569179E-3</v>
      </c>
      <c r="M275">
        <f t="shared" si="80"/>
        <v>2</v>
      </c>
    </row>
    <row r="276" spans="1:14">
      <c r="A276" s="1">
        <v>42795</v>
      </c>
      <c r="B276">
        <v>39.799999999999997</v>
      </c>
      <c r="C276" s="25">
        <f t="shared" si="76"/>
        <v>2.5188916876572875E-3</v>
      </c>
      <c r="D276" s="26">
        <f t="shared" ref="D276:D318" si="85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6">+B276/D276-1</f>
        <v>-5.0768555435430907E-3</v>
      </c>
      <c r="H276" s="42">
        <f>(+B276/(D276*(1-VLOOKUP(A276,FX!A:K,9,0)))-1)</f>
        <v>-2.7481296919817932E-3</v>
      </c>
      <c r="I276" s="25">
        <f t="shared" si="81"/>
        <v>-2.931081995140028E-3</v>
      </c>
      <c r="J276">
        <v>3452.8103000000001</v>
      </c>
      <c r="K276">
        <v>3458.4376000000002</v>
      </c>
      <c r="L276" s="25">
        <f t="shared" si="84"/>
        <v>1.6297738685500107E-3</v>
      </c>
      <c r="M276">
        <f t="shared" si="80"/>
        <v>3</v>
      </c>
    </row>
    <row r="277" spans="1:14">
      <c r="A277" s="1">
        <v>42796</v>
      </c>
      <c r="B277">
        <v>39.4</v>
      </c>
      <c r="C277" s="25">
        <f t="shared" si="76"/>
        <v>-1.005025125628134E-2</v>
      </c>
      <c r="D277" s="26">
        <f t="shared" si="85"/>
        <v>39.64759665089808</v>
      </c>
      <c r="E277" s="26">
        <f>D277*(1-VLOOKUP(A277,FX!A:K,9,0))</f>
        <v>39.623367290881752</v>
      </c>
      <c r="F277">
        <v>39.628</v>
      </c>
      <c r="G277" s="25">
        <f t="shared" si="86"/>
        <v>-6.2449346697657226E-3</v>
      </c>
      <c r="H277" s="42">
        <f>(+B277/(D277*(1-VLOOKUP(A277,FX!A:K,9,0)))-1)</f>
        <v>-5.637261700702445E-3</v>
      </c>
      <c r="I277" s="25">
        <f t="shared" si="81"/>
        <v>-5.7535076208741209E-3</v>
      </c>
      <c r="J277">
        <v>3458.4376000000002</v>
      </c>
      <c r="K277">
        <v>3435.0963000000002</v>
      </c>
      <c r="L277" s="25">
        <f t="shared" si="84"/>
        <v>-6.749088085325039E-3</v>
      </c>
      <c r="M277">
        <f t="shared" si="80"/>
        <v>4</v>
      </c>
    </row>
    <row r="278" spans="1:14">
      <c r="A278" s="1">
        <v>42797</v>
      </c>
      <c r="B278">
        <v>39.200000000000003</v>
      </c>
      <c r="C278" s="25">
        <f t="shared" si="76"/>
        <v>-5.0761421319795996E-3</v>
      </c>
      <c r="D278" s="26">
        <f t="shared" si="85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6"/>
        <v>-8.7130283250361762E-3</v>
      </c>
      <c r="H278" s="42">
        <f>(+B278/(D278*(1-VLOOKUP(A278,FX!A:K,9,0)))-1)</f>
        <v>-5.550173486865706E-3</v>
      </c>
      <c r="I278" s="25">
        <f t="shared" si="81"/>
        <v>-5.4800081185304439E-3</v>
      </c>
      <c r="J278">
        <v>3435.0963000000002</v>
      </c>
      <c r="K278">
        <v>3427.8627999999999</v>
      </c>
      <c r="L278" s="25">
        <f t="shared" si="84"/>
        <v>-2.1057633813643672E-3</v>
      </c>
      <c r="M278">
        <f t="shared" si="80"/>
        <v>5</v>
      </c>
    </row>
    <row r="279" spans="1:14">
      <c r="A279" s="1">
        <v>42800</v>
      </c>
      <c r="B279">
        <v>39.4</v>
      </c>
      <c r="C279" s="25">
        <f t="shared" si="76"/>
        <v>5.1020408163264808E-3</v>
      </c>
      <c r="D279" s="26">
        <f t="shared" si="85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6"/>
        <v>-5.8066889161417778E-3</v>
      </c>
      <c r="H279" s="42">
        <f>(+B279/(D279*(1-VLOOKUP(A279,FX!A:K,9,0)))-1)</f>
        <v>-6.037311726726724E-3</v>
      </c>
      <c r="I279" s="25">
        <f t="shared" si="81"/>
        <v>-6.2049134843363829E-3</v>
      </c>
      <c r="J279">
        <v>3427.8627999999999</v>
      </c>
      <c r="K279">
        <v>3446.4839999999999</v>
      </c>
      <c r="L279" s="25">
        <f t="shared" si="84"/>
        <v>5.4323061004659667E-3</v>
      </c>
      <c r="M279">
        <f t="shared" si="80"/>
        <v>1</v>
      </c>
    </row>
    <row r="280" spans="1:14">
      <c r="A280" s="1">
        <f>+A279+1</f>
        <v>42801</v>
      </c>
      <c r="B280">
        <v>39.5</v>
      </c>
      <c r="C280" s="25">
        <f t="shared" si="76"/>
        <v>2.5380710659899108E-3</v>
      </c>
      <c r="D280" s="26">
        <f t="shared" si="85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6"/>
        <v>-5.8380847349560616E-3</v>
      </c>
      <c r="H280" s="42">
        <f>(+B280/(D280*(1-VLOOKUP(A280,FX!A:K,9,0)))-1)</f>
        <v>-5.6614425724297313E-3</v>
      </c>
      <c r="I280" s="25">
        <f t="shared" si="81"/>
        <v>-5.9391987114958411E-3</v>
      </c>
      <c r="J280">
        <v>3446.4839999999999</v>
      </c>
      <c r="K280">
        <v>3453.9564999999998</v>
      </c>
      <c r="L280" s="25">
        <f t="shared" si="84"/>
        <v>2.1681516583276217E-3</v>
      </c>
      <c r="M280">
        <f t="shared" si="80"/>
        <v>2</v>
      </c>
    </row>
    <row r="281" spans="1:14">
      <c r="A281" s="1">
        <f>+A280+1</f>
        <v>42802</v>
      </c>
      <c r="B281">
        <v>39.450000000000003</v>
      </c>
      <c r="C281" s="25">
        <f t="shared" ref="C281:C312" si="87">B281/B280-1</f>
        <v>-1.2658227848100223E-3</v>
      </c>
      <c r="D281" s="26">
        <f t="shared" si="85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6"/>
        <v>-5.6933006285280197E-3</v>
      </c>
      <c r="H281" s="42">
        <f>(+B281/(D281*(1-VLOOKUP(A281,FX!A:K,9,0)))-1)</f>
        <v>-4.60053491730672E-3</v>
      </c>
      <c r="I281" s="25">
        <f t="shared" si="81"/>
        <v>-4.8684509245011665E-3</v>
      </c>
      <c r="J281">
        <v>3453.9564999999998</v>
      </c>
      <c r="K281">
        <v>3448.7312999999999</v>
      </c>
      <c r="L281" s="25">
        <f t="shared" si="84"/>
        <v>-1.512815809926904E-3</v>
      </c>
      <c r="M281">
        <f t="shared" si="80"/>
        <v>3</v>
      </c>
    </row>
    <row r="282" spans="1:14">
      <c r="A282" s="1">
        <f>+A281+1</f>
        <v>42803</v>
      </c>
      <c r="B282">
        <v>39.15</v>
      </c>
      <c r="C282" s="25">
        <f t="shared" si="87"/>
        <v>-7.6045627376426506E-3</v>
      </c>
      <c r="D282" s="26">
        <f t="shared" si="85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6"/>
        <v>-6.1573499316333047E-3</v>
      </c>
      <c r="H282" s="42">
        <f>(+B282/(D282*(1-VLOOKUP(A282,FX!A:K,9,0)))-1)</f>
        <v>-4.8681182311041127E-3</v>
      </c>
      <c r="I282" s="25">
        <f t="shared" si="81"/>
        <v>-2.5223572575098219E-3</v>
      </c>
      <c r="J282">
        <v>3448.7312999999999</v>
      </c>
      <c r="K282">
        <v>3426.9438</v>
      </c>
      <c r="L282" s="25">
        <f t="shared" ref="L282:L318" si="88">+K282/J282-1</f>
        <v>-6.317540598190341E-3</v>
      </c>
      <c r="M282">
        <f t="shared" ref="M282:M318" si="89">WEEKDAY(A282,2)</f>
        <v>4</v>
      </c>
    </row>
    <row r="283" spans="1:14">
      <c r="A283" s="1">
        <f>+A282+1</f>
        <v>42804</v>
      </c>
      <c r="B283">
        <v>39.15</v>
      </c>
      <c r="C283" s="25">
        <f t="shared" si="87"/>
        <v>0</v>
      </c>
      <c r="D283" s="26">
        <f t="shared" si="85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6"/>
        <v>-2.7981563258908659E-3</v>
      </c>
      <c r="H283" s="42">
        <f>(+B283/(D283*(1-VLOOKUP(A283,FX!A:K,9,0)))-1)</f>
        <v>-3.893887577559707E-3</v>
      </c>
      <c r="I283" s="25">
        <f t="shared" si="81"/>
        <v>-5.7647865505244811E-3</v>
      </c>
      <c r="J283">
        <v>3426.9438</v>
      </c>
      <c r="K283">
        <v>3427.8915999999999</v>
      </c>
      <c r="L283" s="25">
        <f t="shared" si="88"/>
        <v>2.7657296276628607E-4</v>
      </c>
      <c r="M283">
        <f t="shared" si="89"/>
        <v>5</v>
      </c>
    </row>
    <row r="284" spans="1:14">
      <c r="A284" s="1">
        <v>42807</v>
      </c>
      <c r="B284">
        <v>39.549999999999997</v>
      </c>
      <c r="C284" s="25">
        <f t="shared" si="87"/>
        <v>1.0217113665389466E-2</v>
      </c>
      <c r="D284" s="26">
        <f t="shared" si="85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6"/>
        <v>-4.3799239678374846E-3</v>
      </c>
      <c r="H284" s="42">
        <f>(+B284/(D284*(1-VLOOKUP(A284,FX!A:K,9,0)))-1)</f>
        <v>-6.1230248544477117E-3</v>
      </c>
      <c r="I284" s="25">
        <f t="shared" si="81"/>
        <v>-5.856772993489745E-3</v>
      </c>
      <c r="J284">
        <v>3427.8915999999999</v>
      </c>
      <c r="K284">
        <v>3458.098</v>
      </c>
      <c r="L284" s="25">
        <f t="shared" si="88"/>
        <v>8.8119472622762984E-3</v>
      </c>
      <c r="M284">
        <f t="shared" si="89"/>
        <v>1</v>
      </c>
    </row>
    <row r="285" spans="1:14">
      <c r="A285" s="1">
        <v>42808</v>
      </c>
      <c r="B285">
        <v>39.450000000000003</v>
      </c>
      <c r="C285" s="25">
        <f t="shared" si="87"/>
        <v>-2.5284450063209896E-3</v>
      </c>
      <c r="D285" s="26">
        <f t="shared" si="85"/>
        <v>39.766841058928925</v>
      </c>
      <c r="E285" s="26">
        <f>D285*(1-VLOOKUP(A285,FX!A:K,9,0))</f>
        <v>39.713512847827339</v>
      </c>
      <c r="F285">
        <v>39.75</v>
      </c>
      <c r="G285" s="25">
        <f t="shared" si="86"/>
        <v>-7.9674686369834991E-3</v>
      </c>
      <c r="H285" s="42">
        <f>(+B285/(D285*(1-VLOOKUP(A285,FX!A:K,9,0)))-1)</f>
        <v>-6.6353447210034666E-3</v>
      </c>
      <c r="I285" s="25">
        <f t="shared" si="81"/>
        <v>-7.547169811320642E-3</v>
      </c>
      <c r="J285">
        <v>3458.098</v>
      </c>
      <c r="K285">
        <v>3456.6934000000001</v>
      </c>
      <c r="L285" s="25">
        <f t="shared" si="88"/>
        <v>-4.0617703720369214E-4</v>
      </c>
      <c r="M285">
        <f t="shared" si="89"/>
        <v>2</v>
      </c>
    </row>
    <row r="286" spans="1:14">
      <c r="A286" s="1">
        <v>42809</v>
      </c>
      <c r="B286">
        <v>39.700000000000003</v>
      </c>
      <c r="C286" s="25">
        <f t="shared" si="87"/>
        <v>6.3371356147021718E-3</v>
      </c>
      <c r="D286" s="26">
        <f t="shared" si="85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6"/>
        <v>-3.2619528211789151E-3</v>
      </c>
      <c r="H286" s="42">
        <f>(+B286/(D286*(1-VLOOKUP(A286,FX!A:K,9,0)))-1)</f>
        <v>-3.7997186150118267E-3</v>
      </c>
      <c r="I286" s="25">
        <f t="shared" si="81"/>
        <v>-3.8641039795251908E-3</v>
      </c>
      <c r="J286">
        <v>3456.6934000000001</v>
      </c>
      <c r="K286">
        <v>3463.6435999999999</v>
      </c>
      <c r="L286" s="25">
        <f t="shared" si="88"/>
        <v>2.0106498308469778E-3</v>
      </c>
      <c r="M286">
        <f t="shared" si="89"/>
        <v>3</v>
      </c>
      <c r="N286" t="s">
        <v>238</v>
      </c>
    </row>
    <row r="287" spans="1:14">
      <c r="A287" s="1">
        <v>42810</v>
      </c>
      <c r="B287">
        <v>40.1</v>
      </c>
      <c r="C287" s="25">
        <f t="shared" si="87"/>
        <v>1.0075566750629594E-2</v>
      </c>
      <c r="D287" s="26">
        <f t="shared" si="85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6"/>
        <v>1.0100348818358196E-3</v>
      </c>
      <c r="H287" s="42">
        <f>(+B287/(D287*(1-VLOOKUP(A287,FX!A:K,9,0)))-1)</f>
        <v>-3.4780765276908321E-3</v>
      </c>
      <c r="I287" s="25">
        <f t="shared" si="81"/>
        <v>-2.8844241098070489E-3</v>
      </c>
      <c r="J287">
        <v>3463.6435999999999</v>
      </c>
      <c r="K287">
        <v>3481.5066000000002</v>
      </c>
      <c r="L287" s="25">
        <f t="shared" si="88"/>
        <v>5.1572858131248012E-3</v>
      </c>
      <c r="M287">
        <f t="shared" si="89"/>
        <v>4</v>
      </c>
    </row>
    <row r="288" spans="1:14">
      <c r="A288" s="1">
        <v>42811</v>
      </c>
      <c r="B288">
        <v>39.6</v>
      </c>
      <c r="C288" s="25">
        <f t="shared" si="87"/>
        <v>-1.2468827930174564E-2</v>
      </c>
      <c r="D288" s="26">
        <f t="shared" si="85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6"/>
        <v>-5.1151281229759871E-3</v>
      </c>
      <c r="H288" s="42">
        <f>(+B288/(D288*(1-VLOOKUP(A288,FX!A:K,9,0)))-1)</f>
        <v>-3.6980549412565233E-3</v>
      </c>
      <c r="I288" s="25">
        <f t="shared" si="81"/>
        <v>-3.8738240177088601E-3</v>
      </c>
      <c r="J288">
        <v>3481.5066000000002</v>
      </c>
      <c r="K288">
        <v>3445.8051</v>
      </c>
      <c r="L288" s="25">
        <f t="shared" si="88"/>
        <v>-1.0254612184276812E-2</v>
      </c>
      <c r="M288">
        <f t="shared" si="89"/>
        <v>5</v>
      </c>
    </row>
    <row r="289" spans="1:14">
      <c r="A289" s="1">
        <v>42814</v>
      </c>
      <c r="B289">
        <v>39.75</v>
      </c>
      <c r="C289" s="25">
        <f t="shared" si="87"/>
        <v>3.7878787878786735E-3</v>
      </c>
      <c r="D289" s="26">
        <f t="shared" si="85"/>
        <v>39.797926847458662</v>
      </c>
      <c r="E289" s="26">
        <f>D289*(1-VLOOKUP(A289,FX!A:K,9,0))</f>
        <v>39.724358248404613</v>
      </c>
      <c r="F289">
        <v>39.72</v>
      </c>
      <c r="G289" s="25">
        <f t="shared" si="86"/>
        <v>-1.2042548759476635E-3</v>
      </c>
      <c r="H289" s="42">
        <f>(+B289/(D289*(1-VLOOKUP(A289,FX!A:K,9,0)))-1)</f>
        <v>6.4549190285334568E-4</v>
      </c>
      <c r="I289" s="25">
        <f t="shared" si="81"/>
        <v>7.5528700906346558E-4</v>
      </c>
      <c r="J289">
        <v>3445.8051</v>
      </c>
      <c r="K289">
        <v>3449.6125999999999</v>
      </c>
      <c r="L289" s="25">
        <f t="shared" si="88"/>
        <v>1.1049667318676626E-3</v>
      </c>
      <c r="M289">
        <f t="shared" si="89"/>
        <v>1</v>
      </c>
      <c r="N289" t="s">
        <v>252</v>
      </c>
    </row>
    <row r="290" spans="1:14">
      <c r="A290" s="1">
        <v>42815</v>
      </c>
      <c r="B290">
        <v>39.85</v>
      </c>
      <c r="C290" s="25">
        <f t="shared" si="87"/>
        <v>2.515723270440251E-3</v>
      </c>
      <c r="D290" s="26">
        <f t="shared" si="85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6"/>
        <v>-1.5705085076830327E-3</v>
      </c>
      <c r="H290" s="42">
        <f>(+B290/(D290*(1-VLOOKUP(A290,FX!A:K,9,0)))-1)</f>
        <v>-9.1821257150248581E-4</v>
      </c>
      <c r="I290" s="25">
        <f t="shared" si="81"/>
        <v>-1.3282209357691199E-3</v>
      </c>
      <c r="J290">
        <v>3449.6125999999999</v>
      </c>
      <c r="K290">
        <v>3466.3467999999998</v>
      </c>
      <c r="L290" s="25">
        <f t="shared" si="88"/>
        <v>4.8510374759183073E-3</v>
      </c>
      <c r="M290">
        <f t="shared" si="89"/>
        <v>2</v>
      </c>
    </row>
    <row r="291" spans="1:14">
      <c r="A291" s="1">
        <v>42816</v>
      </c>
      <c r="B291">
        <v>39.75</v>
      </c>
      <c r="C291" s="25">
        <f t="shared" si="87"/>
        <v>-2.5094102885822034E-3</v>
      </c>
      <c r="D291" s="26">
        <f t="shared" si="85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6"/>
        <v>8.711736419180216E-4</v>
      </c>
      <c r="H291" s="42">
        <f>(+B291/(D291*(1-VLOOKUP(A291,FX!A:K,9,0)))-1)</f>
        <v>-3.2973106134226438E-3</v>
      </c>
      <c r="I291" s="25">
        <f t="shared" si="81"/>
        <v>-3.6345406692568361E-3</v>
      </c>
      <c r="J291">
        <v>3466.3467999999998</v>
      </c>
      <c r="K291">
        <v>3450.0502000000001</v>
      </c>
      <c r="L291" s="25">
        <f t="shared" si="88"/>
        <v>-4.7013761000485044E-3</v>
      </c>
      <c r="M291">
        <f t="shared" si="89"/>
        <v>3</v>
      </c>
      <c r="N291" t="s">
        <v>258</v>
      </c>
    </row>
    <row r="292" spans="1:14">
      <c r="A292" s="1">
        <v>42817</v>
      </c>
      <c r="B292">
        <v>39.799999999999997</v>
      </c>
      <c r="C292" s="25">
        <f t="shared" si="87"/>
        <v>1.2578616352201255E-3</v>
      </c>
      <c r="D292" s="26">
        <f t="shared" si="85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6"/>
        <v>-5.8184753275442036E-3</v>
      </c>
      <c r="H292" s="42">
        <f>(+B292/(D292*(1-VLOOKUP(A292,FX!A:K,9,0)))-1)</f>
        <v>-4.9674056375494935E-3</v>
      </c>
      <c r="I292" s="25">
        <f t="shared" si="81"/>
        <v>-4.5520484217899115E-3</v>
      </c>
      <c r="J292">
        <v>3450.0502000000001</v>
      </c>
      <c r="K292">
        <v>3461.9782</v>
      </c>
      <c r="L292" s="25">
        <f t="shared" si="88"/>
        <v>3.4573409975309222E-3</v>
      </c>
      <c r="M292">
        <f t="shared" si="89"/>
        <v>4</v>
      </c>
    </row>
    <row r="293" spans="1:14">
      <c r="A293" s="1">
        <v>42818</v>
      </c>
      <c r="B293">
        <v>40.1</v>
      </c>
      <c r="C293" s="25">
        <f t="shared" si="87"/>
        <v>7.5376884422111434E-3</v>
      </c>
      <c r="D293" s="26">
        <f t="shared" si="85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6"/>
        <v>-1.6799315087826505E-3</v>
      </c>
      <c r="H293" s="42">
        <f>(+B293/(D293*(1-VLOOKUP(A293,FX!A:K,9,0)))-1)</f>
        <v>-6.6026362212756595E-5</v>
      </c>
      <c r="I293" s="25">
        <f t="shared" si="81"/>
        <v>-3.3552876848514934E-3</v>
      </c>
      <c r="J293">
        <v>3461.9782</v>
      </c>
      <c r="K293">
        <v>3478.0385000000001</v>
      </c>
      <c r="L293" s="25">
        <f t="shared" si="88"/>
        <v>4.6390528975601697E-3</v>
      </c>
      <c r="M293">
        <f t="shared" si="89"/>
        <v>5</v>
      </c>
    </row>
    <row r="294" spans="1:14">
      <c r="A294" s="1">
        <v>42821</v>
      </c>
      <c r="B294">
        <v>40.1</v>
      </c>
      <c r="C294" s="25">
        <f t="shared" si="87"/>
        <v>0</v>
      </c>
      <c r="D294" s="26">
        <f t="shared" si="85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6"/>
        <v>-3.3552876848514934E-3</v>
      </c>
      <c r="H294" s="42">
        <f>(+B294/(D294*(1-VLOOKUP(A294,FX!A:K,9,0)))-1)</f>
        <v>-7.5853676511487E-3</v>
      </c>
      <c r="I294" s="25">
        <f t="shared" si="81"/>
        <v>-4.3204052242141744E-3</v>
      </c>
      <c r="J294">
        <v>3478.0385000000001</v>
      </c>
      <c r="K294">
        <v>3478.0385000000001</v>
      </c>
      <c r="L294" s="25">
        <f t="shared" si="88"/>
        <v>0</v>
      </c>
      <c r="M294">
        <f t="shared" si="89"/>
        <v>1</v>
      </c>
      <c r="N294" t="s">
        <v>266</v>
      </c>
    </row>
    <row r="295" spans="1:14">
      <c r="A295" s="1">
        <v>42822</v>
      </c>
      <c r="B295">
        <v>40.049999999999997</v>
      </c>
      <c r="C295" s="25">
        <f t="shared" si="87"/>
        <v>-1.2468827930175452E-3</v>
      </c>
      <c r="D295" s="26">
        <f t="shared" si="85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6"/>
        <v>-3.2034341874956906E-3</v>
      </c>
      <c r="H295" s="42">
        <f>(+B295/(D295*(1-VLOOKUP(A295,FX!A:K,9,0)))-1)</f>
        <v>-1.6314176372564937E-3</v>
      </c>
      <c r="I295" s="25">
        <f t="shared" si="81"/>
        <v>-1.5456721180695521E-3</v>
      </c>
      <c r="J295">
        <v>3478.0385000000001</v>
      </c>
      <c r="K295">
        <v>3469.8092999999999</v>
      </c>
      <c r="L295" s="25">
        <f t="shared" si="88"/>
        <v>-2.3660462642952629E-3</v>
      </c>
      <c r="M295">
        <f t="shared" si="89"/>
        <v>2</v>
      </c>
    </row>
    <row r="296" spans="1:14">
      <c r="A296" s="1">
        <v>42823</v>
      </c>
      <c r="B296">
        <v>40.049999999999997</v>
      </c>
      <c r="C296" s="25">
        <f t="shared" si="87"/>
        <v>0</v>
      </c>
      <c r="D296" s="26">
        <f t="shared" si="85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6"/>
        <v>-2.1562649622708374E-4</v>
      </c>
      <c r="H296" s="42">
        <f>(+B296/(D296*(1-VLOOKUP(A296,FX!A:K,9,0)))-1)</f>
        <v>1.0122183398511009E-3</v>
      </c>
      <c r="I296" s="25">
        <f t="shared" si="81"/>
        <v>9.7473194871389168E-4</v>
      </c>
      <c r="J296">
        <v>3469.8092999999999</v>
      </c>
      <c r="K296">
        <v>3465.1932999999999</v>
      </c>
      <c r="L296" s="25">
        <f t="shared" si="88"/>
        <v>-1.3303324767732772E-3</v>
      </c>
      <c r="M296">
        <f t="shared" si="89"/>
        <v>3</v>
      </c>
      <c r="N296" t="s">
        <v>277</v>
      </c>
    </row>
    <row r="297" spans="1:14">
      <c r="A297" s="1">
        <v>42824</v>
      </c>
      <c r="B297">
        <v>39.700000000000003</v>
      </c>
      <c r="C297" s="25">
        <f t="shared" si="87"/>
        <v>-8.7390761548064022E-3</v>
      </c>
      <c r="D297" s="26">
        <f t="shared" si="85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6"/>
        <v>4.3669908442933725E-4</v>
      </c>
      <c r="H297" s="42">
        <f>(+B297/(D297*(1-VLOOKUP(A297,FX!A:K,9,0)))-1)</f>
        <v>1.5800387907278779E-3</v>
      </c>
      <c r="I297" s="25">
        <f t="shared" si="81"/>
        <v>1.3115415657789509E-3</v>
      </c>
      <c r="J297">
        <v>3465.1932999999999</v>
      </c>
      <c r="K297">
        <v>3436.7579999999998</v>
      </c>
      <c r="L297" s="25">
        <f t="shared" si="88"/>
        <v>-8.2059780041707775E-3</v>
      </c>
      <c r="M297">
        <f t="shared" si="89"/>
        <v>4</v>
      </c>
    </row>
    <row r="298" spans="1:14">
      <c r="A298" s="1">
        <v>42825</v>
      </c>
      <c r="B298">
        <v>40</v>
      </c>
      <c r="C298" s="25">
        <f t="shared" si="87"/>
        <v>7.5566750629723067E-3</v>
      </c>
      <c r="D298" s="26">
        <f t="shared" si="85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6"/>
        <v>3.2477800963337522E-3</v>
      </c>
      <c r="H298" s="42">
        <f>(+B298/(D298*(1-VLOOKUP(A298,FX!A:K,9,0)))-1)</f>
        <v>4.108414288157558E-3</v>
      </c>
      <c r="I298" s="25">
        <f t="shared" si="81"/>
        <v>4.1925037029599821E-3</v>
      </c>
      <c r="J298">
        <v>3436.7579999999998</v>
      </c>
      <c r="K298">
        <v>3456.0455000000002</v>
      </c>
      <c r="L298" s="25">
        <f t="shared" si="88"/>
        <v>5.6121204926271595E-3</v>
      </c>
      <c r="M298">
        <f t="shared" si="89"/>
        <v>5</v>
      </c>
      <c r="N298" t="s">
        <v>278</v>
      </c>
    </row>
    <row r="299" spans="1:14">
      <c r="A299" s="1">
        <v>42828</v>
      </c>
      <c r="B299">
        <v>40</v>
      </c>
      <c r="C299" s="25">
        <f t="shared" si="87"/>
        <v>0</v>
      </c>
      <c r="D299" s="26">
        <f t="shared" si="85"/>
        <v>39.832999999999998</v>
      </c>
      <c r="E299" s="26">
        <f>D299*(1-VLOOKUP(A299,FX!A:K,9,0))</f>
        <v>39.900587779066484</v>
      </c>
      <c r="F299">
        <v>39.9</v>
      </c>
      <c r="G299" s="25">
        <f t="shared" si="86"/>
        <v>4.1925037029599821E-3</v>
      </c>
      <c r="H299" s="42">
        <f>(+B299/(D299*(1-VLOOKUP(A299,FX!A:K,9,0)))-1)</f>
        <v>2.4914976562242508E-3</v>
      </c>
      <c r="I299" s="25">
        <f t="shared" ref="I299:I308" si="90">+B299/F299-1</f>
        <v>2.5062656641603454E-3</v>
      </c>
      <c r="J299">
        <v>3456.0455000000002</v>
      </c>
      <c r="K299">
        <v>3456.0455000000002</v>
      </c>
      <c r="L299" s="25">
        <f t="shared" si="88"/>
        <v>0</v>
      </c>
      <c r="M299">
        <f t="shared" si="89"/>
        <v>1</v>
      </c>
    </row>
    <row r="300" spans="1:14">
      <c r="A300" s="1">
        <v>42829</v>
      </c>
      <c r="B300">
        <v>40</v>
      </c>
      <c r="C300" s="25">
        <f t="shared" si="87"/>
        <v>0</v>
      </c>
      <c r="D300" s="26">
        <f t="shared" si="85"/>
        <v>39.9</v>
      </c>
      <c r="E300" s="26">
        <f>D300*(1-VLOOKUP(A300,FX!A:K,9,0))</f>
        <v>39.908416343929524</v>
      </c>
      <c r="F300">
        <v>39.9</v>
      </c>
      <c r="G300" s="25">
        <f t="shared" si="86"/>
        <v>2.5062656641603454E-3</v>
      </c>
      <c r="H300" s="42">
        <f>(+B300/(D300*(1-VLOOKUP(A300,FX!A:K,9,0)))-1)</f>
        <v>2.294845660654854E-3</v>
      </c>
      <c r="I300" s="25">
        <f t="shared" si="90"/>
        <v>2.5062656641603454E-3</v>
      </c>
      <c r="J300">
        <v>3456.0455000000002</v>
      </c>
      <c r="K300">
        <v>3456.0455000000002</v>
      </c>
      <c r="L300" s="25">
        <f t="shared" si="88"/>
        <v>0</v>
      </c>
      <c r="M300">
        <f t="shared" si="89"/>
        <v>2</v>
      </c>
    </row>
    <row r="301" spans="1:14">
      <c r="A301" s="1">
        <v>42830</v>
      </c>
      <c r="B301">
        <v>40.5</v>
      </c>
      <c r="C301" s="25">
        <f t="shared" si="87"/>
        <v>1.2499999999999956E-2</v>
      </c>
      <c r="D301" s="26">
        <f t="shared" si="85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6"/>
        <v>1.1766651513684945E-3</v>
      </c>
      <c r="H301" s="42">
        <f>(+B301/(D301*(1-VLOOKUP(A301,FX!A:K,9,0)))-1)</f>
        <v>1.9598917598784293E-3</v>
      </c>
      <c r="I301" s="25">
        <f t="shared" si="90"/>
        <v>1.7809439002671734E-3</v>
      </c>
      <c r="J301">
        <v>3456.0455000000002</v>
      </c>
      <c r="K301">
        <v>3503.8932</v>
      </c>
      <c r="L301" s="25">
        <f t="shared" si="88"/>
        <v>1.3844638330137604E-2</v>
      </c>
      <c r="M301">
        <f t="shared" si="89"/>
        <v>3</v>
      </c>
      <c r="N301" t="s">
        <v>289</v>
      </c>
    </row>
    <row r="302" spans="1:14">
      <c r="A302" s="1">
        <v>42831</v>
      </c>
      <c r="B302">
        <v>40.450000000000003</v>
      </c>
      <c r="C302" s="25">
        <f t="shared" si="87"/>
        <v>-1.2345679012345512E-3</v>
      </c>
      <c r="D302" s="26">
        <f t="shared" si="85"/>
        <v>40.545153623175501</v>
      </c>
      <c r="E302" s="26">
        <f>D302*(1-VLOOKUP(A302,FX!A:K,9,0))</f>
        <v>40.477279346271082</v>
      </c>
      <c r="F302">
        <v>40.49</v>
      </c>
      <c r="G302" s="25">
        <f t="shared" si="86"/>
        <v>-2.3468556577649347E-3</v>
      </c>
      <c r="H302" s="42">
        <f>(+B302/(D302*(1-VLOOKUP(A302,FX!A:K,9,0)))-1)</f>
        <v>-6.7394218958527485E-4</v>
      </c>
      <c r="I302" s="25">
        <f t="shared" si="90"/>
        <v>-9.8789824648060076E-4</v>
      </c>
      <c r="J302">
        <v>3503.8932</v>
      </c>
      <c r="K302">
        <v>3514.0468999999998</v>
      </c>
      <c r="L302" s="25">
        <f t="shared" si="88"/>
        <v>2.8978337581750946E-3</v>
      </c>
      <c r="M302">
        <f t="shared" si="89"/>
        <v>4</v>
      </c>
      <c r="N302" t="s">
        <v>294</v>
      </c>
    </row>
    <row r="303" spans="1:14">
      <c r="A303" s="1">
        <v>42832</v>
      </c>
      <c r="B303">
        <v>40.549999999999997</v>
      </c>
      <c r="C303" s="25">
        <f t="shared" si="87"/>
        <v>2.4721878862792313E-3</v>
      </c>
      <c r="D303" s="26">
        <f t="shared" si="85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6"/>
        <v>5.0911152503818613E-4</v>
      </c>
      <c r="H303" s="42">
        <f>(+B303/(D303*(1-VLOOKUP(A303,FX!A:K,9,0)))-1)</f>
        <v>1.1264250890512528E-3</v>
      </c>
      <c r="I303" s="25">
        <f t="shared" si="90"/>
        <v>9.6270148848454085E-4</v>
      </c>
      <c r="J303">
        <v>3514.0468999999998</v>
      </c>
      <c r="K303">
        <v>3517.4634000000001</v>
      </c>
      <c r="L303" s="25">
        <f t="shared" si="88"/>
        <v>9.7224086565272927E-4</v>
      </c>
      <c r="M303">
        <f t="shared" si="89"/>
        <v>5</v>
      </c>
    </row>
    <row r="304" spans="1:14">
      <c r="A304" s="1">
        <v>42835</v>
      </c>
      <c r="B304">
        <v>40.200000000000003</v>
      </c>
      <c r="C304" s="25">
        <f t="shared" si="87"/>
        <v>-8.6313193588161141E-3</v>
      </c>
      <c r="D304" s="26">
        <f t="shared" si="85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6"/>
        <v>-4.1878823647157892E-3</v>
      </c>
      <c r="H304" s="42">
        <f>(+B304/(D304*(1-VLOOKUP(A304,FX!A:K,9,0)))-1)</f>
        <v>-2.2614280493923333E-3</v>
      </c>
      <c r="I304" s="25">
        <f t="shared" si="90"/>
        <v>-2.2833316787451707E-3</v>
      </c>
      <c r="J304">
        <v>3517.4634000000001</v>
      </c>
      <c r="K304">
        <v>3505.1392000000001</v>
      </c>
      <c r="L304" s="25">
        <f t="shared" si="88"/>
        <v>-3.5037180486370278E-3</v>
      </c>
      <c r="M304">
        <f t="shared" si="89"/>
        <v>1</v>
      </c>
      <c r="N304" t="s">
        <v>299</v>
      </c>
    </row>
    <row r="305" spans="1:14">
      <c r="A305" s="1">
        <v>42836</v>
      </c>
      <c r="B305">
        <v>40.299999999999997</v>
      </c>
      <c r="C305" s="25">
        <f t="shared" si="87"/>
        <v>2.4875621890545485E-3</v>
      </c>
      <c r="D305" s="26">
        <f t="shared" si="85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6"/>
        <v>-3.2674952623679143E-3</v>
      </c>
      <c r="H305" s="42">
        <f>(+B305/(D305*(1-VLOOKUP(A305,FX!A:K,9,0)))-1)</f>
        <v>-3.2422443135889933E-3</v>
      </c>
      <c r="I305" s="25">
        <f t="shared" si="90"/>
        <v>-2.8701504354711194E-3</v>
      </c>
      <c r="J305">
        <v>3505.1392000000001</v>
      </c>
      <c r="K305">
        <v>3517.328</v>
      </c>
      <c r="L305" s="25">
        <f t="shared" si="88"/>
        <v>3.4774082581370269E-3</v>
      </c>
      <c r="M305">
        <f t="shared" si="89"/>
        <v>2</v>
      </c>
    </row>
    <row r="306" spans="1:14">
      <c r="A306" s="1">
        <v>42837</v>
      </c>
      <c r="B306">
        <v>40.35</v>
      </c>
      <c r="C306" s="25">
        <f t="shared" si="87"/>
        <v>1.2406947890819531E-3</v>
      </c>
      <c r="D306" s="26">
        <f t="shared" si="85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6"/>
        <v>6.1133562273418818E-4</v>
      </c>
      <c r="H306" s="42">
        <f>(+B306/(D306*(1-VLOOKUP(A306,FX!A:K,9,0)))-1)</f>
        <v>-3.2972816575815855E-4</v>
      </c>
      <c r="I306" s="25">
        <f t="shared" si="90"/>
        <v>-4.4589774078485078E-4</v>
      </c>
      <c r="J306">
        <v>3517.328</v>
      </c>
      <c r="K306">
        <v>3509.4387000000002</v>
      </c>
      <c r="L306" s="25">
        <f t="shared" si="88"/>
        <v>-2.2429810356042745E-3</v>
      </c>
      <c r="M306">
        <f t="shared" si="89"/>
        <v>3</v>
      </c>
    </row>
    <row r="307" spans="1:14">
      <c r="A307" s="1">
        <v>42838</v>
      </c>
      <c r="B307">
        <v>40.549999999999997</v>
      </c>
      <c r="C307" s="25">
        <f t="shared" si="87"/>
        <v>4.956629491945419E-3</v>
      </c>
      <c r="D307" s="26">
        <f t="shared" si="85"/>
        <v>40.426980064247886</v>
      </c>
      <c r="E307" s="26">
        <f>D307*(1-VLOOKUP(A307,FX!A:K,9,0))</f>
        <v>40.58985798957162</v>
      </c>
      <c r="F307">
        <v>40.58</v>
      </c>
      <c r="G307" s="25">
        <f t="shared" si="86"/>
        <v>3.0430157176370987E-3</v>
      </c>
      <c r="H307" s="42">
        <f>(+B307/(D307*(1-VLOOKUP(A307,FX!A:K,9,0)))-1)</f>
        <v>-9.8196918013027101E-4</v>
      </c>
      <c r="I307" s="25">
        <f t="shared" si="90"/>
        <v>-7.392804337111869E-4</v>
      </c>
      <c r="J307">
        <v>3509.4387000000002</v>
      </c>
      <c r="K307">
        <v>3514.5662000000002</v>
      </c>
      <c r="L307" s="25">
        <f t="shared" si="88"/>
        <v>1.4610598555262477E-3</v>
      </c>
      <c r="M307">
        <f t="shared" si="89"/>
        <v>4</v>
      </c>
    </row>
    <row r="308" spans="1:14">
      <c r="A308" s="1">
        <v>42839</v>
      </c>
      <c r="B308">
        <v>40.549999999999997</v>
      </c>
      <c r="C308" s="25">
        <f t="shared" si="87"/>
        <v>0</v>
      </c>
      <c r="D308" s="26">
        <f t="shared" si="85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6"/>
        <v>7.3034324135701212E-3</v>
      </c>
      <c r="H308" s="42">
        <f>(+B308/(D308*(1-VLOOKUP(A308,FX!A:K,9,0)))-1)</f>
        <v>8.7662549176954485E-3</v>
      </c>
      <c r="I308" s="25">
        <f t="shared" si="90"/>
        <v>8.7064676616914749E-3</v>
      </c>
      <c r="J308">
        <v>3514.5662000000002</v>
      </c>
      <c r="K308">
        <v>3486.5045</v>
      </c>
      <c r="L308" s="25">
        <f t="shared" si="88"/>
        <v>-7.9843993264375746E-3</v>
      </c>
      <c r="M308">
        <f t="shared" si="89"/>
        <v>5</v>
      </c>
    </row>
    <row r="309" spans="1:14">
      <c r="A309" s="1">
        <v>42842</v>
      </c>
      <c r="B309">
        <v>40.549999999999997</v>
      </c>
      <c r="C309" s="25">
        <f t="shared" si="87"/>
        <v>0</v>
      </c>
      <c r="D309" s="26">
        <f t="shared" si="85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6"/>
        <v>1.060878079698635E-2</v>
      </c>
      <c r="H309" s="42">
        <f>(+B309/(D309*(1-VLOOKUP(A309,FX!A:K,9,0)))-1)</f>
        <v>1.0417945481191682E-2</v>
      </c>
      <c r="I309" s="25">
        <f t="shared" ref="I309:I349" si="91">+B309/F309-1</f>
        <v>1.0465985546972201E-2</v>
      </c>
      <c r="J309">
        <v>3486.5045</v>
      </c>
      <c r="K309">
        <v>3479.9416999999999</v>
      </c>
      <c r="L309" s="25">
        <f t="shared" si="88"/>
        <v>-1.8823437629293949E-3</v>
      </c>
      <c r="M309">
        <f t="shared" si="89"/>
        <v>1</v>
      </c>
    </row>
    <row r="310" spans="1:14">
      <c r="A310" s="1">
        <v>42843</v>
      </c>
      <c r="B310">
        <v>39.950000000000003</v>
      </c>
      <c r="C310" s="25">
        <f t="shared" si="87"/>
        <v>-1.4796547472256338E-2</v>
      </c>
      <c r="D310" s="26">
        <f t="shared" si="85"/>
        <v>39.931666837119721</v>
      </c>
      <c r="E310" s="26">
        <f>D310*(1-VLOOKUP(A310,FX!A:K,9,0))</f>
        <v>39.914409812449797</v>
      </c>
      <c r="F310">
        <v>39.89</v>
      </c>
      <c r="G310" s="25">
        <f t="shared" si="86"/>
        <v>4.5911338875637142E-4</v>
      </c>
      <c r="H310" s="42">
        <f>(+B310/(D310*(1-VLOOKUP(A310,FX!A:K,9,0)))-1)</f>
        <v>8.916626280441875E-4</v>
      </c>
      <c r="I310" s="25">
        <f t="shared" si="91"/>
        <v>1.5041363750314396E-3</v>
      </c>
      <c r="J310">
        <v>3479.9416999999999</v>
      </c>
      <c r="K310">
        <v>3462.7429000000002</v>
      </c>
      <c r="L310" s="25">
        <f t="shared" si="88"/>
        <v>-4.942266705215137E-3</v>
      </c>
      <c r="M310">
        <f t="shared" si="89"/>
        <v>2</v>
      </c>
    </row>
    <row r="311" spans="1:14">
      <c r="A311" s="1">
        <v>42844</v>
      </c>
      <c r="B311">
        <v>39.75</v>
      </c>
      <c r="C311" s="25">
        <f t="shared" si="87"/>
        <v>-5.0062578222779264E-3</v>
      </c>
      <c r="D311" s="26">
        <f t="shared" si="85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6"/>
        <v>1.3679479196500033E-3</v>
      </c>
      <c r="H311" s="42">
        <f>(+B311/(D311*(1-VLOOKUP(A311,FX!A:K,9,0)))-1)</f>
        <v>9.0267214976025301E-4</v>
      </c>
      <c r="I311" s="25">
        <f t="shared" si="91"/>
        <v>1.3351134846462109E-3</v>
      </c>
      <c r="J311">
        <v>3462.7429000000002</v>
      </c>
      <c r="K311">
        <v>3445.8761</v>
      </c>
      <c r="L311" s="25">
        <f t="shared" si="88"/>
        <v>-4.8709362742467288E-3</v>
      </c>
      <c r="M311">
        <f t="shared" si="89"/>
        <v>3</v>
      </c>
      <c r="N311" t="s">
        <v>311</v>
      </c>
    </row>
    <row r="312" spans="1:14">
      <c r="A312" s="1">
        <v>42845</v>
      </c>
      <c r="B312">
        <v>40.1</v>
      </c>
      <c r="C312" s="25">
        <f t="shared" si="87"/>
        <v>8.8050314465408785E-3</v>
      </c>
      <c r="D312" s="26">
        <f t="shared" si="85"/>
        <v>39.877543747350643</v>
      </c>
      <c r="E312" s="26">
        <f>D312*(1-VLOOKUP(A312,FX!A:K,9,0))</f>
        <v>39.877833461387503</v>
      </c>
      <c r="F312">
        <v>39.869</v>
      </c>
      <c r="G312" s="25">
        <f t="shared" si="86"/>
        <v>5.5784843233765979E-3</v>
      </c>
      <c r="H312" s="42">
        <f>(+B312/(D312*(1-VLOOKUP(A312,FX!A:K,9,0)))-1)</f>
        <v>5.5711787559276083E-3</v>
      </c>
      <c r="I312" s="25">
        <f t="shared" si="91"/>
        <v>5.7939752690059354E-3</v>
      </c>
      <c r="J312">
        <v>3445.8761</v>
      </c>
      <c r="K312">
        <v>3461.5481</v>
      </c>
      <c r="L312" s="25">
        <f t="shared" si="88"/>
        <v>4.5480451255923704E-3</v>
      </c>
      <c r="M312">
        <f t="shared" si="89"/>
        <v>4</v>
      </c>
    </row>
    <row r="313" spans="1:14">
      <c r="A313" s="1">
        <v>42846</v>
      </c>
      <c r="B313">
        <v>40.049999999999997</v>
      </c>
      <c r="C313" s="25">
        <f t="shared" ref="C313:C318" si="92">B313/B312-1</f>
        <v>-1.2468827930175452E-3</v>
      </c>
      <c r="D313" s="26">
        <f t="shared" si="85"/>
        <v>39.929334209887188</v>
      </c>
      <c r="E313" s="26">
        <f>D313*(1-VLOOKUP(A313,FX!A:K,9,0))</f>
        <v>39.935281525518825</v>
      </c>
      <c r="F313">
        <v>39.94</v>
      </c>
      <c r="G313" s="25">
        <f t="shared" si="86"/>
        <v>3.0219835241562798E-3</v>
      </c>
      <c r="H313" s="42">
        <f>(+B313/(D313*(1-VLOOKUP(A313,FX!A:K,9,0)))-1)</f>
        <v>2.8726096348630215E-3</v>
      </c>
      <c r="I313" s="25">
        <f t="shared" si="91"/>
        <v>2.7541311967951287E-3</v>
      </c>
      <c r="J313">
        <v>3461.5481</v>
      </c>
      <c r="K313">
        <v>3466.7865000000002</v>
      </c>
      <c r="L313" s="25">
        <f t="shared" si="88"/>
        <v>1.5133113418241972E-3</v>
      </c>
      <c r="M313">
        <f t="shared" si="89"/>
        <v>5</v>
      </c>
    </row>
    <row r="314" spans="1:14">
      <c r="A314" s="1">
        <v>42849</v>
      </c>
      <c r="B314">
        <v>39.6</v>
      </c>
      <c r="C314" s="25">
        <f t="shared" si="92"/>
        <v>-1.1235955056179692E-2</v>
      </c>
      <c r="D314" s="26">
        <f t="shared" si="85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6"/>
        <v>1.7532478155117825E-3</v>
      </c>
      <c r="H314" s="42">
        <f>(+B314/(D314*(1-VLOOKUP(A314,FX!A:K,9,0)))-1)</f>
        <v>2.2301319008914966E-3</v>
      </c>
      <c r="I314" s="25">
        <f t="shared" si="91"/>
        <v>2.2018070002278733E-3</v>
      </c>
      <c r="J314">
        <v>3466.7865000000002</v>
      </c>
      <c r="K314">
        <v>3431.2586999999999</v>
      </c>
      <c r="L314" s="25">
        <f t="shared" si="88"/>
        <v>-1.0248049598670206E-2</v>
      </c>
      <c r="M314">
        <f t="shared" si="89"/>
        <v>1</v>
      </c>
      <c r="N314" t="s">
        <v>320</v>
      </c>
    </row>
    <row r="315" spans="1:14">
      <c r="A315" s="1">
        <v>42850</v>
      </c>
      <c r="B315">
        <v>39.75</v>
      </c>
      <c r="C315" s="25">
        <f t="shared" si="92"/>
        <v>3.7878787878786735E-3</v>
      </c>
      <c r="D315" s="26">
        <f t="shared" si="85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6"/>
        <v>3.1575878898997267E-3</v>
      </c>
      <c r="H315" s="42">
        <f>(+B315/(D315*(1-VLOOKUP(A315,FX!A:K,9,0)))-1)</f>
        <v>3.4089752439740995E-3</v>
      </c>
      <c r="I315" s="25">
        <f t="shared" si="91"/>
        <v>3.863929085536677E-3</v>
      </c>
      <c r="J315">
        <v>3431.2586999999999</v>
      </c>
      <c r="K315">
        <v>3440.9742999999999</v>
      </c>
      <c r="L315" s="25">
        <f t="shared" si="88"/>
        <v>2.8314973744183458E-3</v>
      </c>
      <c r="M315">
        <f t="shared" si="89"/>
        <v>2</v>
      </c>
    </row>
    <row r="316" spans="1:14">
      <c r="A316" s="1">
        <v>42851</v>
      </c>
      <c r="B316">
        <v>39.75</v>
      </c>
      <c r="C316" s="25">
        <f t="shared" si="92"/>
        <v>0</v>
      </c>
      <c r="D316" s="26">
        <f t="shared" si="85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6"/>
        <v>2.6375319258360452E-3</v>
      </c>
      <c r="H316" s="42">
        <f>(+B316/(D316*(1-VLOOKUP(A316,FX!A:K,9,0)))-1)</f>
        <v>3.1691183613324903E-3</v>
      </c>
      <c r="I316" s="25">
        <f t="shared" si="91"/>
        <v>2.7243832299075343E-3</v>
      </c>
      <c r="J316">
        <v>3440.9742999999999</v>
      </c>
      <c r="K316">
        <v>3445.1831999999999</v>
      </c>
      <c r="L316" s="25">
        <f t="shared" si="88"/>
        <v>1.2231710071186619E-3</v>
      </c>
      <c r="M316">
        <f t="shared" si="89"/>
        <v>3</v>
      </c>
      <c r="N316" t="s">
        <v>325</v>
      </c>
    </row>
    <row r="317" spans="1:14">
      <c r="A317" s="1">
        <v>42852</v>
      </c>
      <c r="B317">
        <v>39.700000000000003</v>
      </c>
      <c r="C317" s="25">
        <f t="shared" si="92"/>
        <v>-1.2578616352200145E-3</v>
      </c>
      <c r="D317" s="26">
        <f t="shared" si="85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6"/>
        <v>1.0165110797166754E-3</v>
      </c>
      <c r="H317" s="42">
        <f>(+B317/(D317*(1-VLOOKUP(A317,FX!A:K,9,0)))-1)</f>
        <v>2.7796933988815109E-3</v>
      </c>
      <c r="I317" s="25">
        <f t="shared" si="91"/>
        <v>2.753150968654472E-3</v>
      </c>
      <c r="J317">
        <v>3445.1831999999999</v>
      </c>
      <c r="K317">
        <v>3446.7202000000002</v>
      </c>
      <c r="L317" s="25">
        <f t="shared" si="88"/>
        <v>4.461301216145408E-4</v>
      </c>
      <c r="M317">
        <f t="shared" si="89"/>
        <v>4</v>
      </c>
    </row>
    <row r="318" spans="1:14">
      <c r="A318" s="1">
        <v>42853</v>
      </c>
      <c r="B318">
        <v>39.65</v>
      </c>
      <c r="C318" s="25">
        <f t="shared" si="92"/>
        <v>-1.2594458438288658E-3</v>
      </c>
      <c r="D318" s="26">
        <f t="shared" si="85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6"/>
        <v>3.5187504205751452E-3</v>
      </c>
      <c r="H318" s="42">
        <f>(+B318/(D318*(1-VLOOKUP(A318,FX!A:K,9,0)))-1)</f>
        <v>2.501491320142879E-3</v>
      </c>
      <c r="I318" s="25">
        <f t="shared" si="91"/>
        <v>2.1483634525465423E-3</v>
      </c>
      <c r="J318">
        <v>3446.7202000000002</v>
      </c>
      <c r="K318">
        <v>3439.7530000000002</v>
      </c>
      <c r="L318" s="25">
        <f t="shared" si="88"/>
        <v>-2.0213999384109949E-3</v>
      </c>
      <c r="M318">
        <f t="shared" si="89"/>
        <v>5</v>
      </c>
    </row>
    <row r="319" spans="1:14">
      <c r="A319" s="1">
        <v>42856</v>
      </c>
      <c r="B319">
        <v>39.65</v>
      </c>
      <c r="C319" s="25">
        <f t="shared" ref="C319" si="93">B319/B318-1</f>
        <v>0</v>
      </c>
      <c r="D319" s="26">
        <f t="shared" ref="D319" si="94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5">+B319/D319-1</f>
        <v>2.1483634525465423E-3</v>
      </c>
      <c r="H319" s="42">
        <f>(+B319/(D319*(1-VLOOKUP(A319,FX!A:K,9,0)))-1)</f>
        <v>3.0935532961069434E-3</v>
      </c>
      <c r="I319" s="25">
        <f t="shared" si="91"/>
        <v>3.0356691120667634E-3</v>
      </c>
      <c r="J319">
        <v>3439.7530000000002</v>
      </c>
      <c r="K319">
        <v>3439.7530000000002</v>
      </c>
      <c r="L319" s="25">
        <f t="shared" ref="L319" si="96">+K319/J319-1</f>
        <v>0</v>
      </c>
      <c r="M319">
        <f t="shared" ref="M319" si="97">WEEKDAY(A319,2)</f>
        <v>1</v>
      </c>
    </row>
    <row r="320" spans="1:14">
      <c r="A320" s="1">
        <v>42857</v>
      </c>
      <c r="B320">
        <v>39.549999999999997</v>
      </c>
      <c r="C320" s="25">
        <f t="shared" ref="C320" si="98">B320/B319-1</f>
        <v>-2.5220680958386588E-3</v>
      </c>
      <c r="D320" s="26">
        <f t="shared" ref="D320" si="99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0">+B320/D320-1</f>
        <v>4.3532443788181219E-3</v>
      </c>
      <c r="H320" s="42">
        <f>(+B320/(D320*(1-VLOOKUP(A320,FX!A:K,9,0)))-1)</f>
        <v>3.505902137472594E-3</v>
      </c>
      <c r="I320" s="25">
        <f t="shared" si="91"/>
        <v>3.577862924712516E-3</v>
      </c>
      <c r="J320">
        <v>3439.7530000000002</v>
      </c>
      <c r="K320">
        <v>3426.5765999999999</v>
      </c>
      <c r="L320" s="25">
        <f t="shared" ref="L320" si="101">+K320/J320-1</f>
        <v>-3.8306238849127316E-3</v>
      </c>
      <c r="M320">
        <f t="shared" ref="M320" si="102">WEEKDAY(A320,2)</f>
        <v>2</v>
      </c>
    </row>
    <row r="321" spans="1:14">
      <c r="A321" s="1">
        <v>42858</v>
      </c>
      <c r="B321">
        <v>39.549999999999997</v>
      </c>
      <c r="C321" s="25">
        <f t="shared" ref="C321" si="103">B321/B320-1</f>
        <v>0</v>
      </c>
      <c r="D321" s="26">
        <f t="shared" ref="D321" si="104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5">+B321/D321-1</f>
        <v>7.5321581462506337E-3</v>
      </c>
      <c r="H321" s="42">
        <f>(+B321/(D321*(1-VLOOKUP(A321,FX!A:K,9,0)))-1)</f>
        <v>6.5770398543785191E-3</v>
      </c>
      <c r="I321" s="25">
        <f t="shared" si="91"/>
        <v>6.4637622149836815E-3</v>
      </c>
      <c r="J321">
        <v>3426.5765999999999</v>
      </c>
      <c r="K321">
        <v>3413.1282000000001</v>
      </c>
      <c r="L321" s="25">
        <f t="shared" ref="L321" si="106">+K321/J321-1</f>
        <v>-3.9247335080733192E-3</v>
      </c>
      <c r="M321">
        <f t="shared" ref="M321" si="107">WEEKDAY(A321,2)</f>
        <v>3</v>
      </c>
    </row>
    <row r="322" spans="1:14">
      <c r="A322" s="1">
        <v>42859</v>
      </c>
      <c r="B322">
        <v>39.200000000000003</v>
      </c>
      <c r="C322" s="25">
        <f t="shared" ref="C322" si="108">B322/B321-1</f>
        <v>-8.8495575221237965E-3</v>
      </c>
      <c r="D322" s="26">
        <f t="shared" ref="D322" si="109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0">+B322/D322-1</f>
        <v>1.1853499505276588E-4</v>
      </c>
      <c r="H322" s="42">
        <f>(+B322/(D322*(1-VLOOKUP(A322,FX!A:K,9,0)))-1)</f>
        <v>1.0553482648465451E-3</v>
      </c>
      <c r="I322" s="25">
        <f t="shared" si="91"/>
        <v>1.0470134579536605E-3</v>
      </c>
      <c r="J322">
        <v>3413.1282000000001</v>
      </c>
      <c r="K322">
        <v>3404.3863999999999</v>
      </c>
      <c r="L322" s="25">
        <f t="shared" ref="L322" si="111">+K322/J322-1</f>
        <v>-2.561228142558547E-3</v>
      </c>
      <c r="M322">
        <f t="shared" ref="M322" si="112">WEEKDAY(A322,2)</f>
        <v>4</v>
      </c>
    </row>
    <row r="323" spans="1:14">
      <c r="A323" s="1">
        <v>42860</v>
      </c>
      <c r="B323">
        <v>39</v>
      </c>
      <c r="C323" s="25">
        <f t="shared" ref="C323" si="113">B323/B322-1</f>
        <v>-5.1020408163265918E-3</v>
      </c>
      <c r="D323" s="26">
        <f t="shared" ref="D323" si="114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5">+B323/D323-1</f>
        <v>2.3689623584715047E-3</v>
      </c>
      <c r="H323" s="42">
        <f>(+B323/(D323*(1-VLOOKUP(A323,FX!A:K,9,0)))-1)</f>
        <v>2.8066063235554495E-3</v>
      </c>
      <c r="I323" s="25">
        <f t="shared" si="91"/>
        <v>2.7511377368678591E-3</v>
      </c>
      <c r="J323">
        <v>3404.3863999999999</v>
      </c>
      <c r="K323">
        <v>3382.5502000000001</v>
      </c>
      <c r="L323" s="25">
        <f t="shared" ref="L323" si="116">+K323/J323-1</f>
        <v>-6.4141367736634258E-3</v>
      </c>
      <c r="M323">
        <f t="shared" ref="M323" si="117">WEEKDAY(A323,2)</f>
        <v>5</v>
      </c>
      <c r="N323" t="s">
        <v>334</v>
      </c>
    </row>
    <row r="324" spans="1:14">
      <c r="A324" s="1">
        <v>42863</v>
      </c>
      <c r="B324">
        <v>38.75</v>
      </c>
      <c r="C324" s="25">
        <f t="shared" ref="C324" si="118">B324/B323-1</f>
        <v>-6.4102564102563875E-3</v>
      </c>
      <c r="D324" s="26">
        <f t="shared" ref="D324" si="119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0">+B324/D324-1</f>
        <v>3.364550549088241E-3</v>
      </c>
      <c r="H324" s="42">
        <f>(+B324/(D324*(1-VLOOKUP(A324,FX!A:K,9,0)))-1)</f>
        <v>4.0651167003615818E-3</v>
      </c>
      <c r="I324" s="25">
        <f t="shared" si="91"/>
        <v>4.2242205924274412E-3</v>
      </c>
      <c r="J324">
        <v>3382.5502000000001</v>
      </c>
      <c r="K324">
        <v>3358.8125</v>
      </c>
      <c r="L324" s="25">
        <f t="shared" ref="L324" si="121">+K324/J324-1</f>
        <v>-7.0176933368203409E-3</v>
      </c>
      <c r="M324">
        <f t="shared" ref="M324" si="122">WEEKDAY(A324,2)</f>
        <v>1</v>
      </c>
    </row>
    <row r="325" spans="1:14">
      <c r="A325" s="1">
        <v>42864</v>
      </c>
      <c r="B325">
        <v>38.700000000000003</v>
      </c>
      <c r="C325" s="25">
        <f t="shared" ref="C325" si="123">B325/B324-1</f>
        <v>-1.290322580645098E-3</v>
      </c>
      <c r="D325" s="26">
        <f t="shared" ref="D325" si="124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5">+B325/D325-1</f>
        <v>4.8071737496258038E-3</v>
      </c>
      <c r="H325" s="42">
        <f>(+B325/(D325*(1-VLOOKUP(A325,FX!A:K,9,0)))-1)</f>
        <v>5.816365092225606E-3</v>
      </c>
      <c r="I325" s="25">
        <f t="shared" si="91"/>
        <v>5.7695306408858116E-3</v>
      </c>
      <c r="J325">
        <v>3358.8125</v>
      </c>
      <c r="K325">
        <v>3352.5324000000001</v>
      </c>
      <c r="L325" s="25">
        <f t="shared" ref="L325" si="126">+K325/J325-1</f>
        <v>-1.8697381887199382E-3</v>
      </c>
      <c r="M325">
        <f t="shared" ref="M325" si="127">WEEKDAY(A325,2)</f>
        <v>2</v>
      </c>
    </row>
    <row r="326" spans="1:14">
      <c r="A326" s="1">
        <v>42865</v>
      </c>
      <c r="B326">
        <v>38.549999999999997</v>
      </c>
      <c r="C326" s="25">
        <f t="shared" ref="C326" si="128">B326/B325-1</f>
        <v>-3.8759689922481799E-3</v>
      </c>
      <c r="D326" s="26">
        <f t="shared" ref="D326" si="129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0">+B326/D326-1</f>
        <v>6.323201987332272E-3</v>
      </c>
      <c r="H326" s="42">
        <f>(+B326/(D326*(1-VLOOKUP(A326,FX!A:K,9,0)))-1)</f>
        <v>6.5962892289082031E-3</v>
      </c>
      <c r="I326" s="25">
        <f t="shared" si="91"/>
        <v>5.6609187905980463E-3</v>
      </c>
      <c r="J326">
        <v>3352.5324000000001</v>
      </c>
      <c r="K326">
        <v>3337.7006999999999</v>
      </c>
      <c r="L326" s="25">
        <f t="shared" ref="L326" si="131">+K326/J326-1</f>
        <v>-4.4240288326520272E-3</v>
      </c>
      <c r="M326">
        <f t="shared" ref="M326" si="132">WEEKDAY(A326,2)</f>
        <v>3</v>
      </c>
    </row>
    <row r="327" spans="1:14">
      <c r="A327" s="1">
        <v>42866</v>
      </c>
      <c r="B327">
        <v>38.6</v>
      </c>
      <c r="C327" s="25">
        <f t="shared" ref="C327" si="133">B327/B326-1</f>
        <v>1.2970168612194133E-3</v>
      </c>
      <c r="D327" s="26">
        <f t="shared" ref="D327" si="134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5">+B327/D327-1</f>
        <v>1.2818787704846901E-3</v>
      </c>
      <c r="H327" s="42">
        <f>(+B327/(D327*(1-VLOOKUP(A327,FX!A:K,9,0)))-1)</f>
        <v>9.7337892039206508E-4</v>
      </c>
      <c r="I327" s="25">
        <f t="shared" si="91"/>
        <v>1.2450715916165755E-3</v>
      </c>
      <c r="J327">
        <v>3337.7006999999999</v>
      </c>
      <c r="K327">
        <v>3356.6459</v>
      </c>
      <c r="L327" s="25">
        <f t="shared" ref="L327" si="136">+K327/J327-1</f>
        <v>5.6761230867705681E-3</v>
      </c>
      <c r="M327">
        <f t="shared" ref="M327" si="137">WEEKDAY(A327,2)</f>
        <v>4</v>
      </c>
    </row>
    <row r="328" spans="1:14">
      <c r="A328" s="1">
        <v>42867</v>
      </c>
      <c r="B328">
        <v>39.200000000000003</v>
      </c>
      <c r="C328" s="25">
        <f t="shared" ref="C328" si="138">B328/B327-1</f>
        <v>1.5544041450777257E-2</v>
      </c>
      <c r="D328" s="26">
        <f t="shared" ref="D328" si="139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0">+B328/D328-1</f>
        <v>8.1784853547646197E-3</v>
      </c>
      <c r="H328" s="42">
        <f>(+B328/(D328*(1-VLOOKUP(A328,FX!A:K,9,0)))-1)</f>
        <v>6.9726085728676335E-3</v>
      </c>
      <c r="I328" s="25">
        <f t="shared" si="91"/>
        <v>6.2634767429921023E-3</v>
      </c>
      <c r="J328">
        <v>3356.6459</v>
      </c>
      <c r="K328">
        <v>3385.3787000000002</v>
      </c>
      <c r="L328" s="25">
        <f t="shared" ref="L328" si="141">+K328/J328-1</f>
        <v>8.5599735140367006E-3</v>
      </c>
      <c r="M328">
        <f t="shared" ref="M328" si="142">WEEKDAY(A328,2)</f>
        <v>5</v>
      </c>
    </row>
    <row r="329" spans="1:14">
      <c r="A329" s="1">
        <v>42870</v>
      </c>
      <c r="B329">
        <v>39.299999999999997</v>
      </c>
      <c r="C329" s="25">
        <f t="shared" ref="C329" si="143">B329/B328-1</f>
        <v>2.5510204081631294E-3</v>
      </c>
      <c r="D329" s="26">
        <f t="shared" ref="D329" si="144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5">+B329/D329-1</f>
        <v>4.7303874909023769E-3</v>
      </c>
      <c r="H329" s="42">
        <f>(+B329/(D329*(1-VLOOKUP(A329,FX!A:K,9,0)))-1)</f>
        <v>4.4407332823019896E-3</v>
      </c>
      <c r="I329" s="25">
        <f t="shared" si="91"/>
        <v>5.0122749590835181E-3</v>
      </c>
      <c r="J329">
        <v>3385.3787000000002</v>
      </c>
      <c r="K329">
        <v>3399.1936999999998</v>
      </c>
      <c r="L329" s="25">
        <f t="shared" ref="L329" si="146">+K329/J329-1</f>
        <v>4.0807842265917493E-3</v>
      </c>
      <c r="M329">
        <f t="shared" ref="M329" si="147">WEEKDAY(A329,2)</f>
        <v>1</v>
      </c>
    </row>
    <row r="330" spans="1:14">
      <c r="A330" s="1">
        <v>42871</v>
      </c>
      <c r="B330">
        <v>39.6</v>
      </c>
      <c r="C330" s="25">
        <f t="shared" ref="C330" si="148">B330/B329-1</f>
        <v>7.6335877862596657E-3</v>
      </c>
      <c r="D330" s="26">
        <f t="shared" ref="D330" si="149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0">+B330/D330-1</f>
        <v>3.984191821719163E-3</v>
      </c>
      <c r="H330" s="42">
        <f>(+B330/(D330*(1-VLOOKUP(A330,FX!A:K,9,0)))-1)</f>
        <v>2.2504864111507761E-3</v>
      </c>
      <c r="I330" s="25">
        <f t="shared" si="91"/>
        <v>2.1764437920737123E-3</v>
      </c>
      <c r="J330">
        <v>3399.1936999999998</v>
      </c>
      <c r="K330">
        <v>3428.6491000000001</v>
      </c>
      <c r="L330" s="25">
        <f t="shared" ref="L330" si="151">+K330/J330-1</f>
        <v>8.6654079171775145E-3</v>
      </c>
      <c r="M330">
        <f t="shared" ref="M330" si="152">WEEKDAY(A330,2)</f>
        <v>2</v>
      </c>
    </row>
    <row r="331" spans="1:14">
      <c r="A331" s="1">
        <v>42872</v>
      </c>
      <c r="B331">
        <v>39.5</v>
      </c>
      <c r="C331" s="25">
        <f t="shared" ref="C331" si="153">B331/B330-1</f>
        <v>-2.525252525252597E-3</v>
      </c>
      <c r="D331" s="26">
        <f t="shared" ref="D331" si="154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5">+B331/D331-1</f>
        <v>5.1228414605799522E-3</v>
      </c>
      <c r="H331" s="42">
        <f>(+B331/(D331*(1-VLOOKUP(A331,FX!A:K,9,0)))-1)</f>
        <v>3.7076173463512774E-3</v>
      </c>
      <c r="I331" s="25">
        <f t="shared" si="91"/>
        <v>2.665312856961366E-3</v>
      </c>
      <c r="J331">
        <v>3428.6491000000001</v>
      </c>
      <c r="K331">
        <v>3409.9656</v>
      </c>
      <c r="L331" s="25">
        <f t="shared" ref="L331" si="156">+K331/J331-1</f>
        <v>-5.4492307188858113E-3</v>
      </c>
      <c r="M331">
        <f t="shared" ref="M331" si="157">WEEKDAY(A331,2)</f>
        <v>3</v>
      </c>
    </row>
    <row r="332" spans="1:14">
      <c r="A332" s="1">
        <v>42873</v>
      </c>
      <c r="B332">
        <v>39.15</v>
      </c>
      <c r="C332" s="25">
        <f t="shared" ref="C332" si="158">B332/B331-1</f>
        <v>-8.8607594936709333E-3</v>
      </c>
      <c r="D332" s="26">
        <f t="shared" ref="D332" si="159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0">+B332/D332-1</f>
        <v>-2.7526726907691756E-3</v>
      </c>
      <c r="H332" s="42">
        <f>(+B332/(D332*(1-VLOOKUP(A332,FX!A:K,9,0)))-1)</f>
        <v>-2.1493408420929505E-3</v>
      </c>
      <c r="I332" s="25">
        <f t="shared" si="91"/>
        <v>-2.2681515838833821E-3</v>
      </c>
      <c r="J332">
        <v>3409.9656</v>
      </c>
      <c r="K332">
        <v>3398.1127000000001</v>
      </c>
      <c r="L332" s="25">
        <f t="shared" ref="L332" si="161">+K332/J332-1</f>
        <v>-3.4759588190567126E-3</v>
      </c>
      <c r="M332">
        <f t="shared" ref="M332" si="162">WEEKDAY(A332,2)</f>
        <v>4</v>
      </c>
    </row>
    <row r="333" spans="1:14">
      <c r="A333" s="1">
        <v>42874</v>
      </c>
      <c r="B333">
        <v>39.25</v>
      </c>
      <c r="C333" s="25">
        <f t="shared" ref="C333" si="163">B333/B332-1</f>
        <v>2.5542784163474774E-3</v>
      </c>
      <c r="D333" s="26">
        <f t="shared" ref="D333" si="164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5">+B333/D333-1</f>
        <v>-1.4054370302007957E-3</v>
      </c>
      <c r="H333" s="42">
        <f>(+B333/(D333*(1-VLOOKUP(A333,FX!A:K,9,0)))-1)</f>
        <v>-6.8767968271787883E-4</v>
      </c>
      <c r="I333" s="25">
        <f t="shared" si="91"/>
        <v>5.0958010599400083E-5</v>
      </c>
      <c r="J333">
        <v>3398.1127000000001</v>
      </c>
      <c r="K333">
        <v>3403.8492000000001</v>
      </c>
      <c r="L333" s="25">
        <f t="shared" ref="L333" si="166">+K333/J333-1</f>
        <v>1.6881429506443446E-3</v>
      </c>
      <c r="M333">
        <f t="shared" ref="M333" si="167">WEEKDAY(A333,2)</f>
        <v>5</v>
      </c>
    </row>
    <row r="334" spans="1:14">
      <c r="A334" s="1">
        <v>42877</v>
      </c>
      <c r="B334">
        <v>39.450000000000003</v>
      </c>
      <c r="C334" s="25">
        <f t="shared" ref="C334" si="168">B334/B333-1</f>
        <v>5.0955414012738842E-3</v>
      </c>
      <c r="D334" s="26">
        <f t="shared" ref="D334" si="169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0">+B334/D334-1</f>
        <v>2.9693881418508816E-3</v>
      </c>
      <c r="H334" s="42">
        <f>(+B334/(D334*(1-VLOOKUP(A334,FX!A:K,9,0)))-1)</f>
        <v>1.7854117946363157E-3</v>
      </c>
      <c r="I334" s="25">
        <f t="shared" si="91"/>
        <v>1.5486557160628855E-3</v>
      </c>
      <c r="J334">
        <v>3403.8492000000001</v>
      </c>
      <c r="K334">
        <v>3411.2386999999999</v>
      </c>
      <c r="L334" s="25">
        <f t="shared" ref="L334" si="171">+K334/J334-1</f>
        <v>2.170924610878755E-3</v>
      </c>
      <c r="M334">
        <f t="shared" ref="M334" si="172">WEEKDAY(A334,2)</f>
        <v>1</v>
      </c>
    </row>
    <row r="335" spans="1:14">
      <c r="A335" s="1">
        <v>42878</v>
      </c>
      <c r="B335">
        <v>39.6</v>
      </c>
      <c r="C335" s="25">
        <f t="shared" ref="C335" si="173">B335/B334-1</f>
        <v>3.8022813688212143E-3</v>
      </c>
      <c r="D335" s="26">
        <f t="shared" ref="D335" si="174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5">+B335/D335-1</f>
        <v>1.5530984773932666E-3</v>
      </c>
      <c r="H335" s="42">
        <f>(+B335/(D335*(1-VLOOKUP(A335,FX!A:K,9,0)))-1)</f>
        <v>1.70743927371797E-3</v>
      </c>
      <c r="I335" s="25">
        <f t="shared" si="91"/>
        <v>2.1257212268448455E-3</v>
      </c>
      <c r="J335">
        <v>3411.2386999999999</v>
      </c>
      <c r="K335">
        <v>3424.194</v>
      </c>
      <c r="L335" s="25">
        <f t="shared" ref="L335" si="176">+K335/J335-1</f>
        <v>3.7978286304034548E-3</v>
      </c>
      <c r="M335">
        <f t="shared" ref="M335" si="177">WEEKDAY(A335,2)</f>
        <v>2</v>
      </c>
    </row>
    <row r="336" spans="1:14">
      <c r="A336" s="1">
        <v>42879</v>
      </c>
      <c r="B336">
        <v>39.5</v>
      </c>
      <c r="C336" s="25">
        <f t="shared" ref="C336" si="178">B336/B335-1</f>
        <v>-2.525252525252597E-3</v>
      </c>
      <c r="D336" s="26">
        <f t="shared" ref="D336" si="179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0">+B336/D336-1</f>
        <v>-3.969881519632068E-4</v>
      </c>
      <c r="H336" s="42">
        <f>(+B336/(D336*(1-VLOOKUP(A336,FX!A:K,9,0)))-1)</f>
        <v>1.8620313687156553E-5</v>
      </c>
      <c r="I336" s="25">
        <f t="shared" si="91"/>
        <v>7.0936359951345729E-4</v>
      </c>
      <c r="J336">
        <v>3424.194</v>
      </c>
      <c r="K336">
        <v>3424.1669000000002</v>
      </c>
      <c r="L336" s="25">
        <f t="shared" ref="L336" si="181">+K336/J336-1</f>
        <v>-7.914271212383639E-6</v>
      </c>
      <c r="M336">
        <f t="shared" ref="M336" si="182">WEEKDAY(A336,2)</f>
        <v>3</v>
      </c>
    </row>
    <row r="337" spans="1:14">
      <c r="A337" s="1">
        <v>42880</v>
      </c>
      <c r="B337">
        <v>40.549999999999997</v>
      </c>
      <c r="C337" s="25">
        <f t="shared" ref="C337" si="183">B337/B336-1</f>
        <v>2.6582278481012578E-2</v>
      </c>
      <c r="D337" s="26">
        <f t="shared" ref="D337" si="184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5">+B337/D337-1</f>
        <v>9.1875061597381791E-3</v>
      </c>
      <c r="H337" s="42">
        <f>(+B337/(D337*(1-VLOOKUP(A337,FX!A:K,9,0)))-1)</f>
        <v>5.405950771600665E-3</v>
      </c>
      <c r="I337" s="25">
        <f t="shared" si="91"/>
        <v>5.1060876462423188E-3</v>
      </c>
      <c r="J337">
        <v>3424.1669000000002</v>
      </c>
      <c r="K337">
        <v>3485.6581000000001</v>
      </c>
      <c r="L337" s="25">
        <f t="shared" ref="L337" si="186">+K337/J337-1</f>
        <v>1.795800315691376E-2</v>
      </c>
      <c r="M337">
        <f t="shared" ref="M337" si="187">WEEKDAY(A337,2)</f>
        <v>4</v>
      </c>
    </row>
    <row r="338" spans="1:14">
      <c r="A338" s="1">
        <v>42881</v>
      </c>
      <c r="B338">
        <v>40.5</v>
      </c>
      <c r="C338" s="25">
        <f t="shared" ref="C338" si="188">B338/B337-1</f>
        <v>-1.2330456226880004E-3</v>
      </c>
      <c r="D338" s="26">
        <f t="shared" ref="D338" si="189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0">+B338/D338-1</f>
        <v>5.3733964715123594E-3</v>
      </c>
      <c r="H338" s="42">
        <f>(+B338/(D338*(1-VLOOKUP(A338,FX!A:K,9,0)))-1)</f>
        <v>3.5987128406049784E-3</v>
      </c>
      <c r="I338" s="25">
        <f t="shared" si="91"/>
        <v>2.2023706416569588E-3</v>
      </c>
      <c r="J338">
        <v>3485.6581000000001</v>
      </c>
      <c r="K338">
        <v>3480.4344999999998</v>
      </c>
      <c r="L338" s="25">
        <f t="shared" ref="L338" si="191">+K338/J338-1</f>
        <v>-1.4985979261707971E-3</v>
      </c>
      <c r="M338">
        <f t="shared" ref="M338" si="192">WEEKDAY(A338,2)</f>
        <v>5</v>
      </c>
    </row>
    <row r="339" spans="1:14">
      <c r="A339" s="1">
        <v>42884</v>
      </c>
      <c r="B339">
        <v>40.6</v>
      </c>
      <c r="C339" s="25">
        <f t="shared" ref="C339" si="193">B339/B338-1</f>
        <v>2.4691358024691024E-3</v>
      </c>
      <c r="D339" s="26">
        <f t="shared" ref="D339" si="194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5">+B339/D339-1</f>
        <v>4.6769443963277091E-3</v>
      </c>
      <c r="H339" s="42">
        <f>(+B339/(D339*(1-VLOOKUP(A339,FX!A:K,9,0)))-1)</f>
        <v>8.6952246604909966E-4</v>
      </c>
      <c r="I339" s="25">
        <f t="shared" si="91"/>
        <v>9.8619329388549559E-4</v>
      </c>
      <c r="J339">
        <v>3480.4344999999998</v>
      </c>
      <c r="K339">
        <v>3480.4344999999998</v>
      </c>
      <c r="L339" s="25">
        <f t="shared" ref="L339" si="196">+K339/J339-1</f>
        <v>0</v>
      </c>
      <c r="M339">
        <f t="shared" ref="M339" si="197">WEEKDAY(A339,2)</f>
        <v>1</v>
      </c>
    </row>
    <row r="340" spans="1:14">
      <c r="A340" s="1">
        <v>42885</v>
      </c>
      <c r="B340">
        <v>40.6</v>
      </c>
      <c r="C340" s="25">
        <f t="shared" ref="C340" si="198">B340/B339-1</f>
        <v>0</v>
      </c>
      <c r="D340" s="26">
        <f t="shared" ref="D340" si="199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0">+B340/D340-1</f>
        <v>9.8619329388549559E-4</v>
      </c>
      <c r="H340" s="42">
        <f>(+B340/(D340*(1-VLOOKUP(A340,FX!A:K,9,0)))-1)</f>
        <v>2.4007969961807873E-3</v>
      </c>
      <c r="I340" s="25">
        <f t="shared" si="91"/>
        <v>2.4691358024691024E-3</v>
      </c>
      <c r="J340">
        <v>3480.4344999999998</v>
      </c>
      <c r="K340">
        <v>3480.4344999999998</v>
      </c>
      <c r="L340" s="25">
        <f t="shared" ref="L340" si="201">+K340/J340-1</f>
        <v>0</v>
      </c>
      <c r="M340">
        <f t="shared" ref="M340" si="202">WEEKDAY(A340,2)</f>
        <v>2</v>
      </c>
    </row>
    <row r="341" spans="1:14">
      <c r="A341" s="1">
        <v>42886</v>
      </c>
      <c r="B341">
        <v>40.799999999999997</v>
      </c>
      <c r="C341" s="25">
        <f t="shared" ref="C341" si="203">B341/B340-1</f>
        <v>4.9261083743841194E-3</v>
      </c>
      <c r="D341" s="26">
        <f t="shared" ref="D341" si="204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5">+B341/D341-1</f>
        <v>3.8166152634866446E-3</v>
      </c>
      <c r="H341" s="42">
        <f>(+B341/(D341*(1-VLOOKUP(A341,FX!A:K,9,0)))-1)</f>
        <v>-1.0694883540902644E-3</v>
      </c>
      <c r="I341" s="25">
        <f t="shared" si="91"/>
        <v>-4.6546951174708528E-4</v>
      </c>
      <c r="J341">
        <v>3480.4344999999998</v>
      </c>
      <c r="K341">
        <v>3492.8845000000001</v>
      </c>
      <c r="L341" s="25">
        <f t="shared" ref="L341" si="206">+K341/J341-1</f>
        <v>3.5771395784061077E-3</v>
      </c>
      <c r="M341">
        <f t="shared" ref="M341" si="207">WEEKDAY(A341,2)</f>
        <v>3</v>
      </c>
    </row>
    <row r="342" spans="1:14">
      <c r="A342" s="1">
        <v>42887</v>
      </c>
      <c r="B342">
        <v>40.950000000000003</v>
      </c>
      <c r="C342" s="25">
        <f t="shared" ref="C342" si="208">B342/B341-1</f>
        <v>3.6764705882355031E-3</v>
      </c>
      <c r="D342" s="26">
        <f t="shared" ref="D342" si="209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0">+B342/D342-1</f>
        <v>1.8171681828000885E-3</v>
      </c>
      <c r="H342" s="42">
        <f>(+B342/(D342*(1-VLOOKUP(A342,FX!A:K,9,0)))-1)</f>
        <v>-5.9646227642430327E-3</v>
      </c>
      <c r="I342" s="25">
        <f t="shared" si="91"/>
        <v>-6.8152603623486963E-3</v>
      </c>
      <c r="J342">
        <v>3492.8845000000001</v>
      </c>
      <c r="K342">
        <v>3497.7381999999998</v>
      </c>
      <c r="L342" s="25">
        <f t="shared" ref="L342" si="211">+K342/J342-1</f>
        <v>1.3895964782115744E-3</v>
      </c>
      <c r="M342">
        <f t="shared" ref="M342" si="212">WEEKDAY(A342,2)</f>
        <v>4</v>
      </c>
    </row>
    <row r="343" spans="1:14">
      <c r="A343" s="1">
        <v>42888</v>
      </c>
      <c r="B343">
        <v>40.799999999999997</v>
      </c>
      <c r="C343" s="25">
        <f t="shared" ref="C343" si="213">B343/B342-1</f>
        <v>-3.663003663003761E-3</v>
      </c>
      <c r="D343" s="26">
        <f t="shared" ref="D343" si="214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5">+B343/D343-1</f>
        <v>-7.2657541706688811E-3</v>
      </c>
      <c r="H343" s="42">
        <f>(+B343/(D343*(1-VLOOKUP(A343,FX!A:K,9,0)))-1)</f>
        <v>-4.6221638661114728E-4</v>
      </c>
      <c r="I343" s="25">
        <f t="shared" si="91"/>
        <v>5.6404345586957838E-4</v>
      </c>
      <c r="J343">
        <v>3497.7381999999998</v>
      </c>
      <c r="K343">
        <v>3486.5074</v>
      </c>
      <c r="L343" s="25">
        <f t="shared" ref="L343" si="216">+K343/J343-1</f>
        <v>-3.2108749591378549E-3</v>
      </c>
      <c r="M343">
        <f t="shared" ref="M343" si="217">WEEKDAY(A343,2)</f>
        <v>5</v>
      </c>
    </row>
    <row r="344" spans="1:14">
      <c r="A344" s="1">
        <v>42891</v>
      </c>
      <c r="B344">
        <v>40.6</v>
      </c>
      <c r="C344" s="25">
        <f t="shared" ref="C344" si="218">B344/B343-1</f>
        <v>-4.9019607843135971E-3</v>
      </c>
      <c r="D344" s="26">
        <f t="shared" ref="D344" si="219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0">+B344/D344-1</f>
        <v>7.5525084068583936E-4</v>
      </c>
      <c r="H344" s="42">
        <f>(+B344/(D344*(1-VLOOKUP(A344,FX!A:K,9,0)))-1)</f>
        <v>-6.7751748484612406E-5</v>
      </c>
      <c r="I344" s="25">
        <f t="shared" si="91"/>
        <v>-4.4315328179622693E-4</v>
      </c>
      <c r="J344">
        <v>3486.5074</v>
      </c>
      <c r="K344">
        <v>3468.7538</v>
      </c>
      <c r="L344" s="25">
        <f t="shared" ref="L344" si="221">+K344/J344-1</f>
        <v>-5.0920872848283505E-3</v>
      </c>
      <c r="M344">
        <f t="shared" ref="M344" si="222">WEEKDAY(A344,2)</f>
        <v>1</v>
      </c>
    </row>
    <row r="345" spans="1:14">
      <c r="A345" s="1">
        <v>42892</v>
      </c>
      <c r="B345">
        <v>41.1</v>
      </c>
      <c r="C345" s="25">
        <f t="shared" ref="C345" si="223">B345/B344-1</f>
        <v>1.2315270935960632E-2</v>
      </c>
      <c r="D345" s="26">
        <f t="shared" ref="D345" si="224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5">+B345/D345-1</f>
        <v>4.8769824663263961E-3</v>
      </c>
      <c r="H345" s="42">
        <f>(+B345/(D345*(1-VLOOKUP(A345,FX!A:K,9,0)))-1)</f>
        <v>2.7628976351359302E-3</v>
      </c>
      <c r="I345" s="25">
        <f t="shared" si="91"/>
        <v>2.1945866861741159E-3</v>
      </c>
      <c r="J345">
        <v>3468.7538</v>
      </c>
      <c r="K345">
        <v>3492.8816000000002</v>
      </c>
      <c r="L345" s="25">
        <f t="shared" ref="L345" si="226">+K345/J345-1</f>
        <v>6.9557545421643496E-3</v>
      </c>
      <c r="M345">
        <f t="shared" ref="M345" si="227">WEEKDAY(A345,2)</f>
        <v>2</v>
      </c>
      <c r="N345" t="s">
        <v>381</v>
      </c>
    </row>
    <row r="346" spans="1:14">
      <c r="A346" s="1">
        <v>42893</v>
      </c>
      <c r="B346">
        <v>41.45</v>
      </c>
      <c r="C346" s="25">
        <f t="shared" ref="C346" si="228">B346/B345-1</f>
        <v>8.5158150851580849E-3</v>
      </c>
      <c r="D346" s="26">
        <f t="shared" ref="D346" si="229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0">+B346/D346-1</f>
        <v>-9.9459106792731955E-4</v>
      </c>
      <c r="H346" s="42">
        <f>(+B346/(D346*(1-VLOOKUP(A346,FX!A:K,9,0)))-1)</f>
        <v>-8.7798475354772254E-4</v>
      </c>
      <c r="I346" s="25">
        <f t="shared" si="91"/>
        <v>-1.3973209983617618E-3</v>
      </c>
      <c r="J346">
        <v>3492.8816000000002</v>
      </c>
      <c r="K346">
        <v>3533.8717999999999</v>
      </c>
      <c r="L346" s="25">
        <f t="shared" ref="L346" si="231">+K346/J346-1</f>
        <v>1.1735353411349347E-2</v>
      </c>
      <c r="M346">
        <f t="shared" ref="M346" si="232">WEEKDAY(A346,2)</f>
        <v>3</v>
      </c>
    </row>
    <row r="347" spans="1:14">
      <c r="A347" s="1">
        <v>42894</v>
      </c>
      <c r="B347">
        <v>41.95</v>
      </c>
      <c r="C347" s="25">
        <f t="shared" ref="C347" si="233">B347/B346-1</f>
        <v>1.2062726176115701E-2</v>
      </c>
      <c r="D347" s="26">
        <f t="shared" ref="D347" si="234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5">+B347/D347-1</f>
        <v>2.9553138609292873E-3</v>
      </c>
      <c r="H347" s="42">
        <f>(+B347/(D347*(1-VLOOKUP(A347,FX!A:K,9,0)))-1)</f>
        <v>2.9790198349926023E-3</v>
      </c>
      <c r="I347" s="25">
        <f t="shared" si="91"/>
        <v>1.3128058240841067E-3</v>
      </c>
      <c r="J347">
        <v>3533.8717999999999</v>
      </c>
      <c r="K347">
        <v>3560.9785999999999</v>
      </c>
      <c r="L347" s="25">
        <f t="shared" ref="L347" si="236">+K347/J347-1</f>
        <v>7.6705668836090091E-3</v>
      </c>
      <c r="M347">
        <f t="shared" ref="M347" si="237">WEEKDAY(A347,2)</f>
        <v>4</v>
      </c>
    </row>
    <row r="348" spans="1:14">
      <c r="A348" s="1">
        <v>42895</v>
      </c>
      <c r="B348">
        <v>42.1</v>
      </c>
      <c r="C348" s="25">
        <f t="shared" ref="C348" si="238">B348/B347-1</f>
        <v>3.5756853396899935E-3</v>
      </c>
      <c r="D348" s="26">
        <f t="shared" ref="D348" si="239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0">+B348/D348-1</f>
        <v>6.243629664204331E-4</v>
      </c>
      <c r="H348" s="42">
        <f>(+B348/(D348*(1-VLOOKUP(A348,FX!A:K,9,0)))-1)</f>
        <v>3.227773159772962E-3</v>
      </c>
      <c r="I348" s="25">
        <f t="shared" si="91"/>
        <v>3.0257546517999945E-3</v>
      </c>
      <c r="J348">
        <v>3560.9785999999999</v>
      </c>
      <c r="K348">
        <v>3576.1703000000002</v>
      </c>
      <c r="L348" s="25">
        <f t="shared" ref="L348" si="241">+K348/J348-1</f>
        <v>4.2661587463626027E-3</v>
      </c>
      <c r="M348">
        <f t="shared" ref="M348" si="242">WEEKDAY(A348,2)</f>
        <v>5</v>
      </c>
    </row>
    <row r="349" spans="1:14">
      <c r="A349" s="1">
        <v>42898</v>
      </c>
      <c r="B349">
        <v>42.05</v>
      </c>
      <c r="C349" s="25">
        <f t="shared" ref="C349" si="243">B349/B348-1</f>
        <v>-1.1876484560571221E-3</v>
      </c>
      <c r="D349" s="26">
        <f t="shared" ref="D349" si="244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5">+B349/D349-1</f>
        <v>2.3336656325261274E-3</v>
      </c>
      <c r="H349" s="42">
        <f>(+B349/(D349*(1-VLOOKUP(A349,FX!A:K,9,0)))-1)</f>
        <v>2.2864086605884903E-3</v>
      </c>
      <c r="I349" s="25">
        <f t="shared" si="91"/>
        <v>2.3837902264598476E-3</v>
      </c>
      <c r="J349">
        <v>3576.1703000000002</v>
      </c>
      <c r="K349">
        <v>3574.3894</v>
      </c>
      <c r="L349" s="25">
        <f t="shared" ref="L349" si="246">+K349/J349-1</f>
        <v>-4.979908255487997E-4</v>
      </c>
      <c r="M349">
        <f t="shared" ref="M349" si="247">WEEKDAY(A349,2)</f>
        <v>1</v>
      </c>
    </row>
    <row r="350" spans="1:14">
      <c r="A350" s="1">
        <v>42899</v>
      </c>
      <c r="B350">
        <v>42.15</v>
      </c>
      <c r="C350" s="25">
        <f t="shared" ref="C350" si="248">B350/B349-1</f>
        <v>2.3781212841855748E-3</v>
      </c>
      <c r="D350" s="26">
        <f t="shared" ref="D350" si="249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0">+B350/D350-1</f>
        <v>2.5579299397262556E-3</v>
      </c>
      <c r="H350" s="42">
        <f>(+B350/(D350*(1-VLOOKUP(A350,FX!A:K,9,0)))-1)</f>
        <v>2.9672020935682664E-3</v>
      </c>
      <c r="I350" s="25">
        <f t="shared" ref="I350:I355" si="251">+B350/F350-1</f>
        <v>3.2608954371267096E-3</v>
      </c>
      <c r="J350">
        <v>3574.3894</v>
      </c>
      <c r="K350">
        <v>3582.2674000000002</v>
      </c>
      <c r="L350" s="25">
        <f t="shared" ref="L350" si="252">+K350/J350-1</f>
        <v>2.2040128028579797E-3</v>
      </c>
      <c r="M350">
        <f t="shared" ref="M350" si="253">WEEKDAY(A350,2)</f>
        <v>2</v>
      </c>
    </row>
    <row r="351" spans="1:14">
      <c r="A351" s="1">
        <v>42900</v>
      </c>
      <c r="B351">
        <v>41.6</v>
      </c>
      <c r="C351" s="25">
        <f t="shared" ref="C351" si="254">B351/B350-1</f>
        <v>-1.3048635824436494E-2</v>
      </c>
      <c r="D351" s="26">
        <f t="shared" ref="D351" si="255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6">+B351/D351-1</f>
        <v>3.3247460430814169E-3</v>
      </c>
      <c r="H351" s="42">
        <f>(+B351/(D351*(1-VLOOKUP(A351,FX!A:K,9,0)))-1)</f>
        <v>3.3779461651330944E-3</v>
      </c>
      <c r="I351" s="25">
        <f t="shared" si="251"/>
        <v>9.1429671334397611E-4</v>
      </c>
      <c r="J351">
        <v>3582.2674000000002</v>
      </c>
      <c r="K351">
        <v>3535.2986999999998</v>
      </c>
      <c r="L351" s="25">
        <f t="shared" ref="L351" si="257">+K351/J351-1</f>
        <v>-1.3111444444376286E-2</v>
      </c>
      <c r="M351">
        <f t="shared" ref="M351" si="258">WEEKDAY(A351,2)</f>
        <v>3</v>
      </c>
    </row>
    <row r="352" spans="1:14">
      <c r="A352" s="1">
        <v>42901</v>
      </c>
      <c r="B352">
        <v>41.5</v>
      </c>
      <c r="C352" s="25">
        <f t="shared" ref="C352" si="259">B352/B351-1</f>
        <v>-2.4038461538461453E-3</v>
      </c>
      <c r="D352" s="26">
        <f t="shared" ref="D352" si="260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1">+B352/D352-1</f>
        <v>3.4922081243315972E-4</v>
      </c>
      <c r="H352" s="42">
        <f>(+B352/(D352*(1-VLOOKUP(A352,FX!A:K,9,0)))-1)</f>
        <v>-3.9230146541557875E-4</v>
      </c>
      <c r="I352" s="25">
        <f t="shared" si="251"/>
        <v>-2.8907303912117932E-4</v>
      </c>
      <c r="J352">
        <v>3535.2986999999998</v>
      </c>
      <c r="K352">
        <v>3528.7926000000002</v>
      </c>
      <c r="L352" s="25">
        <f t="shared" ref="L352" si="262">+K352/J352-1</f>
        <v>-1.8403254016413628E-3</v>
      </c>
      <c r="M352">
        <f t="shared" ref="M352" si="263">WEEKDAY(A352,2)</f>
        <v>4</v>
      </c>
    </row>
    <row r="353" spans="1:13">
      <c r="A353" s="1">
        <v>42902</v>
      </c>
      <c r="B353">
        <v>41.4</v>
      </c>
      <c r="C353" s="25">
        <f t="shared" ref="C353" si="264">B353/B352-1</f>
        <v>-2.4096385542169418E-3</v>
      </c>
      <c r="D353" s="26">
        <f t="shared" ref="D353" si="265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6">+B353/D353-1</f>
        <v>1.4515464579334392E-4</v>
      </c>
      <c r="H353" s="42">
        <f>(+B353/(D353*(1-VLOOKUP(A353,FX!A:K,9,0)))-1)</f>
        <v>6.3280667497411791E-3</v>
      </c>
      <c r="I353" s="25">
        <f t="shared" si="251"/>
        <v>4.1475660336169895E-3</v>
      </c>
      <c r="J353">
        <v>3528.7926000000002</v>
      </c>
      <c r="K353">
        <v>3518.7611000000002</v>
      </c>
      <c r="L353" s="25">
        <f t="shared" ref="L353" si="267">+K353/J353-1</f>
        <v>-2.8427570382005829E-3</v>
      </c>
      <c r="M353">
        <f t="shared" ref="M353" si="268">WEEKDAY(A353,2)</f>
        <v>5</v>
      </c>
    </row>
    <row r="354" spans="1:13">
      <c r="A354" s="1">
        <v>42905</v>
      </c>
      <c r="B354">
        <v>41.7</v>
      </c>
      <c r="C354" s="25">
        <f t="shared" ref="C354" si="269">B354/B353-1</f>
        <v>7.2463768115942351E-3</v>
      </c>
      <c r="D354" s="26">
        <f t="shared" ref="D354" si="270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1">+B354/D354-1</f>
        <v>1.4897628690895282E-3</v>
      </c>
      <c r="H354" s="42">
        <f>(+B354/(D354*(1-VLOOKUP(A354,FX!A:K,9,0)))-1)</f>
        <v>-6.6369811852973193E-4</v>
      </c>
      <c r="I354" s="25">
        <f t="shared" si="251"/>
        <v>-7.1937270699984346E-5</v>
      </c>
      <c r="J354">
        <v>3518.7611000000002</v>
      </c>
      <c r="K354">
        <v>3553.6653000000001</v>
      </c>
      <c r="L354" s="25">
        <f t="shared" ref="L354" si="272">+K354/J354-1</f>
        <v>9.9194571634886319E-3</v>
      </c>
      <c r="M354">
        <f t="shared" ref="M354" si="273">WEEKDAY(A354,2)</f>
        <v>1</v>
      </c>
    </row>
    <row r="355" spans="1:13">
      <c r="A355" s="1">
        <v>42906</v>
      </c>
      <c r="B355">
        <v>41.6</v>
      </c>
      <c r="C355" s="25">
        <f t="shared" ref="C355:C357" si="274">B355/B354-1</f>
        <v>-2.3980815347721673E-3</v>
      </c>
      <c r="D355" s="26">
        <f t="shared" ref="D355" si="275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6">+B355/D355-1</f>
        <v>-4.5275899844565703E-4</v>
      </c>
      <c r="H355" s="42">
        <f>(+B355/(D355*(1-VLOOKUP(A355,FX!A:K,9,0)))-1)</f>
        <v>2.5988001699890351E-3</v>
      </c>
      <c r="I355" s="25">
        <f t="shared" si="251"/>
        <v>2.1440100214400459E-3</v>
      </c>
      <c r="J355">
        <v>3553.6653000000001</v>
      </c>
      <c r="K355">
        <v>3546.4940000000001</v>
      </c>
      <c r="L355" s="25">
        <f t="shared" ref="L355" si="277">+K355/J355-1</f>
        <v>-2.0180009636810992E-3</v>
      </c>
      <c r="M355">
        <f t="shared" ref="M355" si="278">WEEKDAY(A355,2)</f>
        <v>2</v>
      </c>
    </row>
    <row r="356" spans="1:13">
      <c r="A356" s="1">
        <v>42907</v>
      </c>
      <c r="B356">
        <v>41.95</v>
      </c>
      <c r="C356" s="25">
        <f t="shared" si="274"/>
        <v>8.4134615384616751E-3</v>
      </c>
      <c r="D356" s="26">
        <f t="shared" ref="D356:D357" si="279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0">+B356/D356-1</f>
        <v>-1.1023039204782759E-3</v>
      </c>
      <c r="H356" s="42">
        <f>(+B356/(D356*(1-VLOOKUP(A356,FX!A:K,9,0)))-1)</f>
        <v>-1.5941181483127842E-3</v>
      </c>
      <c r="I356" s="25">
        <f t="shared" ref="I356:I363" si="281">+B356/F356-1</f>
        <v>-1.4282313734823582E-3</v>
      </c>
      <c r="J356">
        <v>3546.4940000000001</v>
      </c>
      <c r="K356">
        <v>3587.9549999999999</v>
      </c>
      <c r="L356" s="25">
        <f t="shared" ref="L356:L357" si="282">+K356/J356-1</f>
        <v>1.1690700731482817E-2</v>
      </c>
      <c r="M356">
        <f t="shared" ref="M356:M357" si="283">WEEKDAY(A356,2)</f>
        <v>3</v>
      </c>
    </row>
    <row r="357" spans="1:13">
      <c r="A357" s="1">
        <v>42908</v>
      </c>
      <c r="B357">
        <v>42.05</v>
      </c>
      <c r="C357" s="25">
        <f t="shared" si="274"/>
        <v>2.3837902264598476E-3</v>
      </c>
      <c r="D357" s="26">
        <f t="shared" si="279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0"/>
        <v>2.8654274583228556E-4</v>
      </c>
      <c r="H357" s="42">
        <f>(+B357/(D357*(1-VLOOKUP(A357,FX!A:K,9,0)))-1)</f>
        <v>4.0518818845414195E-4</v>
      </c>
      <c r="I357" s="25">
        <f t="shared" si="281"/>
        <v>-9.5115803490863904E-5</v>
      </c>
      <c r="J357">
        <v>3587.9549999999999</v>
      </c>
      <c r="K357">
        <v>3590.3425000000002</v>
      </c>
      <c r="L357" s="25">
        <f t="shared" si="282"/>
        <v>6.654208316436705E-4</v>
      </c>
      <c r="M357">
        <f t="shared" si="283"/>
        <v>4</v>
      </c>
    </row>
    <row r="358" spans="1:13">
      <c r="A358" s="1">
        <v>42909</v>
      </c>
      <c r="B358">
        <v>42.35</v>
      </c>
      <c r="C358" s="25">
        <f t="shared" ref="C358" si="284">B358/B357-1</f>
        <v>7.1343638525565023E-3</v>
      </c>
      <c r="D358" s="26">
        <f t="shared" ref="D358" si="285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6">+B358/D358-1</f>
        <v>-2.0066131680064325E-3</v>
      </c>
      <c r="H358" s="42">
        <f>(+B358/(D358*(1-VLOOKUP(A358,FX!A:K,9,0)))-1)</f>
        <v>-5.1074580511223377E-4</v>
      </c>
      <c r="I358" s="25">
        <f t="shared" si="281"/>
        <v>3.0706001842362163E-4</v>
      </c>
      <c r="J358">
        <v>3590.3425000000002</v>
      </c>
      <c r="K358">
        <v>3622.8831</v>
      </c>
      <c r="L358" s="25">
        <f t="shared" ref="L358" si="287">+K358/J358-1</f>
        <v>9.0633693025108375E-3</v>
      </c>
      <c r="M358">
        <f t="shared" ref="M358" si="288">WEEKDAY(A358,2)</f>
        <v>5</v>
      </c>
    </row>
    <row r="359" spans="1:13">
      <c r="A359" s="1">
        <v>42912</v>
      </c>
      <c r="B359">
        <v>42.95</v>
      </c>
      <c r="C359" s="25">
        <f t="shared" ref="C359" si="289">B359/B358-1</f>
        <v>1.4167650531286879E-2</v>
      </c>
      <c r="D359" s="26">
        <f t="shared" ref="D359" si="290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1">+B359/D359-1</f>
        <v>1.9757261057835596E-3</v>
      </c>
      <c r="H359" s="42">
        <f>(+B359/(D359*(1-VLOOKUP(A359,FX!A:K,9,0)))-1)</f>
        <v>3.2406269144586997E-3</v>
      </c>
      <c r="I359" s="25">
        <f t="shared" si="281"/>
        <v>3.2233953097262624E-3</v>
      </c>
      <c r="J359">
        <v>3622.8831</v>
      </c>
      <c r="K359">
        <v>3668.0918999999999</v>
      </c>
      <c r="L359" s="25">
        <f t="shared" ref="L359" si="292">+K359/J359-1</f>
        <v>1.2478680308508849E-2</v>
      </c>
      <c r="M359">
        <f t="shared" ref="M359" si="293">WEEKDAY(A359,2)</f>
        <v>1</v>
      </c>
    </row>
    <row r="360" spans="1:13">
      <c r="A360" s="1">
        <v>42913</v>
      </c>
      <c r="B360">
        <v>43.05</v>
      </c>
      <c r="C360" s="25">
        <f t="shared" ref="C360" si="294">B360/B359-1</f>
        <v>2.3282887077995529E-3</v>
      </c>
      <c r="D360" s="26">
        <f t="shared" ref="D360" si="295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6">+B360/D360-1</f>
        <v>3.7467709571208374E-3</v>
      </c>
      <c r="H360" s="42">
        <f>(+B360/(D360*(1-VLOOKUP(A360,FX!A:K,9,0)))-1)</f>
        <v>3.5020593884180773E-3</v>
      </c>
      <c r="I360" s="25">
        <f t="shared" si="281"/>
        <v>2.8653295128939771E-3</v>
      </c>
      <c r="J360">
        <v>3668.0918999999999</v>
      </c>
      <c r="K360">
        <v>3674.7152000000001</v>
      </c>
      <c r="L360" s="25">
        <f t="shared" ref="L360" si="297">+K360/J360-1</f>
        <v>1.8056526882546109E-3</v>
      </c>
      <c r="M360">
        <f t="shared" ref="M360" si="298">WEEKDAY(A360,2)</f>
        <v>2</v>
      </c>
    </row>
    <row r="361" spans="1:13">
      <c r="A361" s="1">
        <v>42914</v>
      </c>
      <c r="B361">
        <v>42.85</v>
      </c>
      <c r="C361" s="25">
        <f t="shared" ref="C361" si="299">B361/B360-1</f>
        <v>-4.6457607433215697E-3</v>
      </c>
      <c r="D361" s="26">
        <f t="shared" ref="D361" si="300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1">+B361/D361-1</f>
        <v>6.0219699851811193E-3</v>
      </c>
      <c r="H361" s="42">
        <f>(+B361/(D361*(1-VLOOKUP(A361,FX!A:K,9,0)))-1)</f>
        <v>-8.0275825748266083E-4</v>
      </c>
      <c r="I361" s="25">
        <f t="shared" si="281"/>
        <v>-1.4215469227004673E-3</v>
      </c>
      <c r="J361">
        <v>3674.7152000000001</v>
      </c>
      <c r="K361">
        <v>3646.1666</v>
      </c>
      <c r="L361" s="25">
        <f t="shared" ref="L361" si="302">+K361/J361-1</f>
        <v>-7.7689285961535237E-3</v>
      </c>
      <c r="M361">
        <f t="shared" ref="M361" si="303">WEEKDAY(A361,2)</f>
        <v>3</v>
      </c>
    </row>
    <row r="362" spans="1:13">
      <c r="A362" s="1">
        <v>42915</v>
      </c>
      <c r="B362">
        <v>43.2</v>
      </c>
      <c r="C362" s="25">
        <f t="shared" ref="C362" si="304">B362/B361-1</f>
        <v>8.168028004667427E-3</v>
      </c>
      <c r="D362" s="26">
        <f t="shared" ref="D362" si="305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6">+B362/D362-1</f>
        <v>5.1655666134853284E-4</v>
      </c>
      <c r="H362" s="42">
        <f>(+B362/(D362*(1-VLOOKUP(A362,FX!A:K,9,0)))-1)</f>
        <v>-1.4036850822970459E-3</v>
      </c>
      <c r="I362" s="25">
        <f t="shared" si="281"/>
        <v>-1.6177490177952114E-3</v>
      </c>
      <c r="J362">
        <v>3646.1666</v>
      </c>
      <c r="K362">
        <v>3668.8279000000002</v>
      </c>
      <c r="L362" s="25">
        <f t="shared" ref="L362" si="307">+K362/J362-1</f>
        <v>6.2151027328263275E-3</v>
      </c>
      <c r="M362">
        <f t="shared" ref="M362" si="308">WEEKDAY(A362,2)</f>
        <v>4</v>
      </c>
    </row>
    <row r="363" spans="1:13">
      <c r="A363" s="1">
        <v>42916</v>
      </c>
      <c r="B363">
        <v>43.15</v>
      </c>
      <c r="C363" s="25">
        <f t="shared" ref="C363" si="309">B363/B362-1</f>
        <v>-1.1574074074075513E-3</v>
      </c>
      <c r="D363" s="26">
        <f t="shared" ref="D363" si="310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1">+B363/D363-1</f>
        <v>-2.2211483948911814E-3</v>
      </c>
      <c r="H363" s="42">
        <f>(+B363/(D363*(1-VLOOKUP(A363,FX!A:K,9,0)))-1)</f>
        <v>-4.942024500638742E-3</v>
      </c>
      <c r="I363" s="25">
        <f t="shared" si="281"/>
        <v>-5.5083085574685331E-3</v>
      </c>
      <c r="J363">
        <v>3668.8279000000002</v>
      </c>
      <c r="K363">
        <v>3666.7977000000001</v>
      </c>
      <c r="L363" s="25">
        <f t="shared" ref="L363" si="312">+K363/J363-1</f>
        <v>-5.5336474082090525E-4</v>
      </c>
      <c r="M363">
        <f t="shared" ref="M363" si="313">WEEKDAY(A363,2)</f>
        <v>5</v>
      </c>
    </row>
    <row r="364" spans="1:13">
      <c r="A364" s="1">
        <v>42919</v>
      </c>
    </row>
    <row r="365" spans="1:13">
      <c r="A365" s="1">
        <v>42920</v>
      </c>
    </row>
    <row r="366" spans="1:13">
      <c r="A366" s="1">
        <v>42921</v>
      </c>
    </row>
    <row r="367" spans="1:13">
      <c r="A367" s="1">
        <v>42922</v>
      </c>
    </row>
    <row r="368" spans="1:13">
      <c r="A368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74"/>
  <sheetViews>
    <sheetView zoomScale="115" zoomScaleNormal="115" workbookViewId="0">
      <pane xSplit="1" ySplit="2" topLeftCell="B341" activePane="bottomRight" state="frozen"/>
      <selection pane="topRight" activeCell="B1" sqref="B1"/>
      <selection pane="bottomLeft" activeCell="A3" sqref="A3"/>
      <selection pane="bottomRight" activeCell="A370" sqref="A370:A374"/>
    </sheetView>
  </sheetViews>
  <sheetFormatPr defaultRowHeight="13.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>
      <c r="J1" t="s">
        <v>219</v>
      </c>
      <c r="O1" t="s">
        <v>34</v>
      </c>
    </row>
    <row r="2" spans="1:17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69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3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3">
      <c r="A370" s="1">
        <v>42919</v>
      </c>
    </row>
    <row r="371" spans="1:13">
      <c r="A371" s="1">
        <v>42920</v>
      </c>
    </row>
    <row r="372" spans="1:13">
      <c r="A372" s="1">
        <v>42921</v>
      </c>
    </row>
    <row r="373" spans="1:13">
      <c r="A373" s="1">
        <v>42922</v>
      </c>
    </row>
    <row r="374" spans="1:13">
      <c r="A374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74"/>
  <sheetViews>
    <sheetView zoomScale="115" zoomScaleNormal="115" workbookViewId="0">
      <pane xSplit="1" ySplit="2" topLeftCell="B339" activePane="bottomRight" state="frozen"/>
      <selection pane="topRight" activeCell="B1" sqref="B1"/>
      <selection pane="bottomLeft" activeCell="A3" sqref="A3"/>
      <selection pane="bottomRight" activeCell="B370" sqref="B370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69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3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3">
      <c r="A370" s="1">
        <v>42919</v>
      </c>
    </row>
    <row r="371" spans="1:13">
      <c r="A371" s="1">
        <v>42920</v>
      </c>
    </row>
    <row r="372" spans="1:13">
      <c r="A372" s="1">
        <v>42921</v>
      </c>
    </row>
    <row r="373" spans="1:13">
      <c r="A373" s="1">
        <v>42922</v>
      </c>
    </row>
    <row r="374" spans="1:13">
      <c r="A374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74"/>
  <sheetViews>
    <sheetView zoomScale="115" zoomScaleNormal="115" workbookViewId="0">
      <pane xSplit="1" ySplit="2" topLeftCell="B341" activePane="bottomRight" state="frozen"/>
      <selection pane="topRight" activeCell="B1" sqref="B1"/>
      <selection pane="bottomLeft" activeCell="A3" sqref="A3"/>
      <selection pane="bottomRight" activeCell="A370" sqref="A370:A374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>
      <c r="J1" t="s">
        <v>218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69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3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3">
      <c r="A370" s="1">
        <v>42919</v>
      </c>
    </row>
    <row r="371" spans="1:13">
      <c r="A371" s="1">
        <v>42920</v>
      </c>
    </row>
    <row r="372" spans="1:13">
      <c r="A372" s="1">
        <v>42921</v>
      </c>
    </row>
    <row r="373" spans="1:13">
      <c r="A373" s="1">
        <v>42922</v>
      </c>
    </row>
    <row r="374" spans="1:13">
      <c r="A374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375"/>
  <sheetViews>
    <sheetView tabSelected="1" zoomScale="115" zoomScaleNormal="115" workbookViewId="0">
      <pane xSplit="1" ySplit="2" topLeftCell="B343" activePane="bottomRight" state="frozen"/>
      <selection pane="topRight" activeCell="B1" sqref="B1"/>
      <selection pane="bottomLeft" activeCell="A3" sqref="A3"/>
      <selection pane="bottomRight" activeCell="E370" sqref="E370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>
      <c r="J1" t="s">
        <v>220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370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3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3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3">
      <c r="A371" s="1">
        <v>42919</v>
      </c>
    </row>
    <row r="372" spans="1:13">
      <c r="A372" s="1">
        <v>42920</v>
      </c>
    </row>
    <row r="373" spans="1:13">
      <c r="A373" s="1">
        <v>42921</v>
      </c>
    </row>
    <row r="374" spans="1:13">
      <c r="A374" s="1">
        <v>42922</v>
      </c>
    </row>
    <row r="375" spans="1:13">
      <c r="A375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4" sqref="A54"/>
    </sheetView>
  </sheetViews>
  <sheetFormatPr defaultColWidth="9" defaultRowHeight="16.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2017-07-03T00:43:30Z</dcterms:modified>
</cp:coreProperties>
</file>