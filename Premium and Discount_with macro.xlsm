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6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27" i="25" l="1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28" i="25" l="1"/>
  <c r="B229" i="25"/>
  <c r="B230" i="25"/>
  <c r="B231" i="25"/>
  <c r="B281" i="20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<sst xmlns="http://schemas.openxmlformats.org/spreadsheetml/2006/main" count="498" uniqueCount="402">
  <si>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</si>
  <si>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</si>
  <si>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</si>
  <si>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</si>
  <si>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</si>
  <si>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</si>
  <si>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</si>
  <si>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</si>
  <si>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</si>
  <si>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</si>
  <si>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</si>
  <si>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</si>
  <si>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</si>
  <si>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</si>
  <si>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</si>
  <si>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</si>
  <si>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</si>
  <si>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</si>
  <si>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</si>
  <si>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</si>
  <si>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</si>
  <si>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</si>
  <si>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</si>
  <si>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</si>
  <si>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</si>
  <si>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</si>
  <si>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</si>
  <si>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</si>
  <si>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</si>
  <si>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</si>
  <si>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</si>
  <si>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</si>
  <si>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</si>
  <si>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</si>
  <si>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</si>
  <si>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</si>
  <si>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</si>
  <si>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</si>
  <si>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</si>
  <si>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</si>
  <si>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</si>
  <si>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</si>
  <si>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</si>
  <si>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</si>
  <si>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</si>
  <si>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</si>
  <si>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</si>
  <si>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</si>
  <si>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</si>
  <si>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</si>
  <si>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</si>
  <si>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</si>
  <si>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</si>
  <si>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</si>
  <si>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</si>
  <si>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</si>
  <si>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</si>
  <si>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</si>
  <si>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</si>
  <si>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</si>
  <si>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</si>
  <si>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</si>
  <si>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</si>
  <si>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</si>
  <si>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</si>
  <si>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</si>
  <si>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</si>
  <si>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</si>
  <si>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</si>
  <si>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</si>
  <si>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</si>
  <si>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</si>
  <si>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</si>
  <si>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</si>
  <si>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</si>
  <si>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</si>
  <si>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</si>
  <si>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</si>
  <si>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</si>
  <si>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</si>
  <si>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</si>
  <si>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</si>
  <si>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</si>
  <si>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</si>
  <si>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</si>
  <si>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</si>
  <si>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</si>
  <si>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</si>
  <si>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</si>
  <si>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</si>
  <si>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</si>
  <si>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</si>
  <si>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</si>
  <si>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</si>
  <si>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</si>
  <si>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</si>
  <si>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</si>
  <si>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</si>
  <si>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</si>
  <si>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</si>
  <si>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</si>
  <si>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</si>
  <si>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</si>
  <si>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</si>
  <si>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</si>
  <si>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</si>
  <si>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</si>
  <si>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</si>
  <si>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</si>
  <si>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</si>
  <si>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</si>
  <si>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</si>
  <si>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</si>
  <si>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</si>
  <si>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</si>
  <si>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</si>
  <si>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</si>
  <si>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</si>
  <si>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</si>
  <si>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</si>
  <si>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</si>
  <si>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</si>
  <si>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</si>
  <si>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</si>
  <si>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</si>
  <si>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</si>
  <si>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</si>
  <si>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</si>
  <si>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</si>
  <si>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</si>
  <si>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</si>
  <si>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</si>
  <si>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</si>
  <si>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</si>
  <si>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</si>
  <si>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</si>
  <si>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</si>
  <si>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</si>
  <si>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</si>
  <si>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</si>
  <si>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</si>
  <si>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</si>
  <si>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</si>
  <si>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</si>
  <si>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</si>
  <si>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</si>
  <si>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</si>
  <si>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</si>
  <si>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</si>
  <si>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</si>
  <si>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</si>
  <si>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</si>
  <si>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</si>
  <si>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</si>
  <si>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</si>
  <si>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</si>
  <si>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</si>
  <si>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</si>
  <si>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</si>
  <si>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</si>
  <si>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</si>
  <si>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</si>
  <si>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</si>
  <si>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</si>
  <si>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</si>
  <si>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</si>
  <si>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</si>
  <si>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</si>
  <si>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</si>
  <si>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</si>
  <si>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</si>
  <si>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</si>
  <si>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</si>
  <si>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</si>
  <si>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</si>
  <si>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</si>
  <si>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</si>
  <si>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</si>
  <si>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</si>
  <si>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</si>
  <si>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</si>
  <si>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</si>
  <si>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</si>
  <si>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</si>
  <si>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</si>
  <si>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</si>
  <si>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</si>
  <si>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</si>
  <si>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</si>
  <si>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</si>
  <si>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</si>
  <si>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</si>
  <si>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</si>
  <si>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</si>
  <si>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</si>
  <si>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</si>
  <si>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</si>
  <si>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</si>
  <si>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</si>
  <si>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</si>
  <si>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</si>
  <si>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</si>
  <si>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</si>
  <si>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</si>
  <si>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</si>
  <si>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</si>
  <si>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</si>
  <si>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</si>
  <si>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</si>
  <si>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</si>
  <si>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</si>
  <si>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</si>
  <si>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</si>
  <si>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</si>
  <si>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</si>
  <si>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</si>
  <si>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</si>
  <si>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</si>
  <si>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</si>
  <si>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</si>
  <si>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</si>
  <si>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</si>
  <si>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</si>
  <si>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</si>
  <si>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</si>
  <si>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</si>
  <si>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</si>
  <si>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</si>
  <si>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</si>
  <si>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</si>
  <si>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</si>
  <si>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</si>
  <si>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</si>
  <si>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</si>
  <si>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</si>
  <si>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</si>
  <si>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</si>
  <si>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</si>
  <si>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</si>
  <si>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</si>
  <si>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</si>
  <si>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</si>
  <si>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</si>
  <si>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</si>
  <si>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</si>
  <si>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</si>
  <si>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</si>
  <si>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</si>
  <si>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</si>
  <si>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</si>
  <si>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</si>
  <si>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</si>
  <si>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</si>
  <si>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</si>
  <si>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</si>
  <si>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</si>
  <si>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</si>
  <si>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</si>
  <si>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</si>
  <si>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</si>
  <si>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</si>
  <si>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</si>
  <si>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</si>
  <si>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</si>
  <si>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</si>
  <si>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</si>
  <si>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</si>
  <si>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</si>
  <si>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</si>
  <si>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</si>
  <si>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</si>
  <si>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</si>
  <si>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</si>
  <si>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</si>
  <si>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</si>
  <si>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</si>
  <si>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</si>
  <si>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</si>
  <si>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</si>
  <si>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</si>
  <si>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</si>
  <si>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</si>
  <si>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</si>
  <si>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</si>
  <si>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</si>
  <si>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</si>
  <si>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</si>
  <si>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</si>
  <si>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</si>
  <si>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</si>
  <si>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</si>
  <si>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</si>
  <si>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</si>
  <si>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</si>
  <si>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</si>
  <si>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</si>
  <si>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</si>
  <si>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</si>
  <si>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</si>
  <si>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</si>
  <si>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</si>
  <si>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</si>
  <si>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</si>
  <si>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</si>
  <si>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</si>
  <si>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</si>
  <si>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</si>
  <si>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</si>
  <si>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</si>
  <si>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</si>
  <si>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</si>
  <si>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</si>
  <si>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</si>
  <si>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</si>
  <si>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</si>
  <si>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</si>
  <si>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</si>
  <si>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</si>
  <si>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</si>
  <si>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</si>
  <si>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</si>
  <si>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</si>
  <si>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</si>
  <si>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</si>
  <si>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</si>
  <si>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</si>
  <si>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</si>
  <si>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</si>
  <si>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</si>
  <si>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</si>
  <si>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</si>
  <si>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</si>
  <si>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</si>
  <si>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</si>
  <si>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</si>
  <si>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</si>
  <si>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</si>
  <si>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</si>
  <si>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</si>
  <si>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</si>
  <si>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</si>
  <si>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</si>
  <si>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</si>
  <si>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</si>
  <si>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</si>
  <si>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</si>
  <si>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</si>
  <si>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</si>
  <si>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</si>
  <si>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</si>
  <si>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</si>
  <si>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</si>
  <si>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</si>
  <si>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</si>
  <si>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</si>
  <si>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</si>
  <si>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</si>
  <si>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</si>
  <si>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</si>
  <si>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</si>
  <si>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</si>
  <si>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</si>
  <si>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</si>
  <si>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</si>
  <si>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</si>
  <si>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</si>
  <si>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</si>
  <si>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</si>
  <si>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</si>
  <si>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</si>
  <si>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</si>
  <si>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</si>
  <si>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</si>
  <si>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</si>
  <si>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</si>
  <si>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</si>
  <si>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</si>
  <si>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</si>
  <si>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</si>
  <si>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</si>
  <si>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</si>
  <si>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</si>
  <si>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</si>
  <si>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</si>
  <si>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</si>
  <si>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</si>
  <si>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</si>
  <si>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</si>
  <si>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</si>
  <si>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</si>
  <si>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</si>
  <si>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</si>
  <si>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</si>
  <si>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</si>
  <si>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</si>
  <si>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</si>
  <si>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</si>
  <si>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</si>
  <si>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</si>
  <si>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</si>
  <si>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FTSEA50 2</t>
  </si>
  <si>
    <t>BOCFX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</si>
</sst>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69850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19050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/>
  </sheetViews>
  <sheetFormatPr defaultRowHeight="14" x14ac:dyDescent="0.25"/>
  <cols>
    <col min="1" max="1" width="13.453125" customWidth="1"/>
    <col min="2" max="2" width="10.453125" bestFit="1" customWidth="1" collapsed="1"/>
    <col min="3" max="4" width="12.7265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D10</f>
        <v>42919</v>
      </c>
    </row>
    <row r="2" spans="1:14" x14ac:dyDescent="0.25">
      <c r="A2" t="s">
        <v>390</v>
      </c>
      <c r="B2" s="39">
        <v>6.7844749999999996</v>
      </c>
      <c r="C2" s="1">
        <v>42919</v>
      </c>
      <c r="D2" s="41">
        <v>13</v>
      </c>
    </row>
    <row r="3" spans="1:14" x14ac:dyDescent="0.25">
      <c r="A3" t="s">
        <v>391</v>
      </c>
      <c r="B3" s="39">
        <v>6.7935850000000002</v>
      </c>
      <c r="C3" s="1">
        <v>42919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6.7972950000000001</v>
      </c>
      <c r="C4" s="1">
        <v>42920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3650.8463000000002</v>
      </c>
      <c r="C5" s="41">
        <v>3666.7977000000001</v>
      </c>
      <c r="D5" s="25">
        <v>-4.4000000000000003E-3</v>
      </c>
      <c r="J5" s="71"/>
      <c r="K5" s="72"/>
      <c r="L5" s="73"/>
      <c r="M5" s="74"/>
    </row>
    <row r="6" spans="1:14" x14ac:dyDescent="0.25">
      <c r="A6" t="s">
        <v>349</v>
      </c>
      <c r="B6" s="39">
        <v>3195.9115999999999</v>
      </c>
      <c r="C6" s="41">
        <v>3192.4268999999999</v>
      </c>
      <c r="D6" s="25">
        <v>1.1000000000000001E-3</v>
      </c>
      <c r="J6" s="75"/>
      <c r="K6" s="76"/>
      <c r="L6" s="77"/>
      <c r="M6" s="78"/>
    </row>
    <row r="7" spans="1:14" x14ac:dyDescent="0.25">
      <c r="A7" t="s">
        <v>350</v>
      </c>
      <c r="B7">
        <v>1835.9860000000001</v>
      </c>
      <c r="C7" s="39">
        <v>1818.067</v>
      </c>
      <c r="D7" s="25">
        <v>9.9000000000000008E-3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10535.046</v>
      </c>
      <c r="C8" s="39">
        <v>10529.609</v>
      </c>
      <c r="D8" s="25">
        <v>5.0000000000000001E-4</v>
      </c>
      <c r="J8" s="83"/>
      <c r="K8" s="84"/>
      <c r="L8" s="85"/>
      <c r="M8" s="86"/>
    </row>
    <row r="9" spans="1:14" x14ac:dyDescent="0.25">
      <c r="A9" t="s">
        <v>352</v>
      </c>
      <c r="B9">
        <v>6177.3953000000001</v>
      </c>
      <c r="C9" s="39">
        <v>6138.1556</v>
      </c>
      <c r="D9" s="25">
        <v>6.4000000000000003E-3</v>
      </c>
      <c r="J9" s="87"/>
      <c r="K9" s="88"/>
      <c r="L9" s="89"/>
      <c r="M9" s="90"/>
    </row>
    <row r="10" spans="1:14" x14ac:dyDescent="0.25">
      <c r="A10" t="s">
        <v>353</v>
      </c>
      <c r="B10">
        <v>12.42</v>
      </c>
      <c r="C10" s="39">
        <v>12.726000000000001</v>
      </c>
      <c r="D10" s="1">
        <v>42919</v>
      </c>
    </row>
    <row r="11" spans="1:14" x14ac:dyDescent="0.25">
      <c r="A11" t="s">
        <v>354</v>
      </c>
      <c r="B11">
        <v>12.94</v>
      </c>
      <c r="C11" s="39">
        <v>12.9686</v>
      </c>
      <c r="D11" s="1">
        <v>42919</v>
      </c>
    </row>
    <row r="12" spans="1:14" x14ac:dyDescent="0.25">
      <c r="A12" t="s">
        <v>355</v>
      </c>
      <c r="B12">
        <v>7.8</v>
      </c>
      <c r="C12" s="1">
        <v>7.8769999999999998</v>
      </c>
      <c r="D12" s="1">
        <v>42919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43</v>
      </c>
      <c r="C13" s="39">
        <v>43.133000000000003</v>
      </c>
      <c r="D13" s="1">
        <v>42919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40.119999999999997</v>
      </c>
      <c r="C14" s="39">
        <v>39.79</v>
      </c>
      <c r="D14" s="1">
        <v>42916</v>
      </c>
      <c r="J14" s="55"/>
      <c r="K14" s="58"/>
      <c r="L14" s="61"/>
      <c r="M14" s="64"/>
      <c r="N14" s="67"/>
    </row>
    <row r="15" spans="1:14" x14ac:dyDescent="0.25">
      <c r="A15" t="s">
        <v>358</v>
      </c>
      <c r="B15">
        <v>31.380099999999999</v>
      </c>
      <c r="C15">
        <v>31.345800000000001</v>
      </c>
      <c r="D15" s="1">
        <v>42916</v>
      </c>
    </row>
    <row r="16" spans="1:14" x14ac:dyDescent="0.25">
      <c r="A16" t="s">
        <v>359</v>
      </c>
      <c r="B16">
        <v>27.05</v>
      </c>
      <c r="C16">
        <v>27.1982</v>
      </c>
      <c r="D16" s="1">
        <v>42916</v>
      </c>
    </row>
    <row r="17" spans="1:16" x14ac:dyDescent="0.25">
      <c r="A17" t="s">
        <v>360</v>
      </c>
      <c r="B17">
        <v>33.130099999999999</v>
      </c>
      <c r="C17" s="1">
        <v>33.030999999999999</v>
      </c>
      <c r="D17" s="1">
        <v>42916</v>
      </c>
    </row>
    <row r="18" spans="1:16" x14ac:dyDescent="0.25">
      <c r="A18" t="s">
        <v>361</v>
      </c>
      <c r="B18">
        <v>11369.75</v>
      </c>
      <c r="C18" s="1"/>
      <c r="D18" s="1"/>
    </row>
    <row r="19" spans="1:16" x14ac:dyDescent="0.25">
      <c r="A19" t="s">
        <v>400</v>
      </c>
      <c r="B19">
        <v>11369.75</v>
      </c>
      <c r="D19" s="1"/>
    </row>
    <row r="20" spans="1:16" x14ac:dyDescent="0.25">
      <c r="A20" t="s">
        <v>362</v>
      </c>
      <c r="B20">
        <v>17814.330000000002</v>
      </c>
      <c r="C20" s="39"/>
      <c r="D20" s="41"/>
    </row>
    <row r="21" spans="1:16" x14ac:dyDescent="0.25">
      <c r="A21" t="s">
        <v>401</v>
      </c>
      <c r="B21">
        <v>6.7771999999999997</v>
      </c>
      <c r="C21" s="1">
        <v>42920</v>
      </c>
      <c r="D21" s="41">
        <v>0.22916666666666666</v>
      </c>
    </row>
    <row r="22" spans="1:16" x14ac:dyDescent="0.2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 s="39">
        <v>3176.9481000000001</v>
      </c>
      <c r="B23" s="39">
        <v>3174.4868000000001</v>
      </c>
      <c r="C23" s="39">
        <v>3175.0974000000001</v>
      </c>
      <c r="D23" s="1">
        <v>3180.7406999999998</v>
      </c>
      <c r="E23">
        <v>3182.4101000000001</v>
      </c>
      <c r="F23">
        <v>3183.1370000000002</v>
      </c>
      <c r="G23">
        <v>3171.6046999999999</v>
      </c>
      <c r="H23">
        <v>942</v>
      </c>
      <c r="I23">
        <v>1059</v>
      </c>
      <c r="J23">
        <v>3182.4101000000001</v>
      </c>
      <c r="K23">
        <v>3181.5511000000001</v>
      </c>
      <c r="L23">
        <v>3191.0639999999999</v>
      </c>
      <c r="M23">
        <v>3193.0587</v>
      </c>
      <c r="N23">
        <v>3180.3042999999998</v>
      </c>
      <c r="O23">
        <v>1445</v>
      </c>
      <c r="P23">
        <v>1313</v>
      </c>
    </row>
    <row r="24" spans="1:16" x14ac:dyDescent="0.25">
      <c r="C24" s="39"/>
      <c r="D24" s="1"/>
    </row>
    <row r="25" spans="1:16" x14ac:dyDescent="0.25">
      <c r="D25" s="1"/>
    </row>
    <row r="26" spans="1:16" x14ac:dyDescent="0.25">
      <c r="D26" s="25"/>
    </row>
    <row r="27" spans="1:16" x14ac:dyDescent="0.25">
      <c r="D27" s="1"/>
    </row>
    <row r="28" spans="1:16" x14ac:dyDescent="0.25">
      <c r="C28" s="1"/>
      <c r="D28" s="94"/>
    </row>
    <row r="29" spans="1:16" x14ac:dyDescent="0.25">
      <c r="C29" s="1"/>
      <c r="D29" s="1"/>
    </row>
    <row r="30" spans="1:16" x14ac:dyDescent="0.25">
      <c r="D30" s="1"/>
    </row>
    <row r="31" spans="1:16" x14ac:dyDescent="0.25">
      <c r="D31" s="1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1"/>
      <c r="D37" s="1"/>
    </row>
    <row r="38" spans="3:4" x14ac:dyDescent="0.25">
      <c r="C38" s="1"/>
      <c r="D38" s="94"/>
    </row>
    <row r="39" spans="3:4" x14ac:dyDescent="0.25">
      <c r="D39" s="1"/>
    </row>
    <row r="40" spans="3:4" x14ac:dyDescent="0.25">
      <c r="D40" s="1"/>
    </row>
    <row r="41" spans="3:4" x14ac:dyDescent="0.25">
      <c r="D41" s="1"/>
    </row>
    <row r="42" spans="3:4" x14ac:dyDescent="0.25">
      <c r="D42" s="1"/>
    </row>
    <row r="43" spans="3:4" x14ac:dyDescent="0.25">
      <c r="C43" s="1"/>
      <c r="D43" s="1"/>
    </row>
    <row r="44" spans="3:4" x14ac:dyDescent="0.25">
      <c r="D44" s="1"/>
    </row>
    <row r="45" spans="3:4" x14ac:dyDescent="0.25">
      <c r="D45" s="1"/>
    </row>
    <row r="46" spans="3:4" x14ac:dyDescent="0.25">
      <c r="D46" s="25"/>
    </row>
    <row r="47" spans="3:4" x14ac:dyDescent="0.25">
      <c r="D47" s="25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1"/>
    </row>
    <row r="52" spans="3:4" x14ac:dyDescent="0.25">
      <c r="D52" s="1"/>
    </row>
    <row r="53" spans="3:4" x14ac:dyDescent="0.25">
      <c r="D53" s="1"/>
    </row>
    <row r="54" spans="3:4" x14ac:dyDescent="0.25">
      <c r="C54" s="1"/>
      <c r="D54" s="1"/>
    </row>
    <row r="55" spans="3:4" x14ac:dyDescent="0.25">
      <c r="D55" s="1"/>
    </row>
    <row r="56" spans="3:4" x14ac:dyDescent="0.25"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C62" s="1"/>
      <c r="D62" s="94"/>
    </row>
    <row r="63" spans="3:4" x14ac:dyDescent="0.25">
      <c r="C63" s="1"/>
      <c r="D63" s="94"/>
    </row>
    <row r="64" spans="3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25"/>
    </row>
    <row r="84" spans="4:4" x14ac:dyDescent="0.25">
      <c r="D84" s="25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9" spans="3:4" x14ac:dyDescent="0.2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69850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1"/>
  <sheetViews>
    <sheetView zoomScale="115" zoomScaleNormal="115" workbookViewId="0">
      <pane xSplit="1" ySplit="1" topLeftCell="B212" activePane="bottomRight" state="frozen"/>
      <selection pane="topRight" activeCell="B1" sqref="B1"/>
      <selection pane="bottomLeft" activeCell="A2" sqref="A2"/>
      <selection pane="bottomRight" activeCell="D227" sqref="D227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2695312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7265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27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27" si="15">LN(C220/C219)</f>
        <v>5.8655326653686257E-5</v>
      </c>
      <c r="H220">
        <v>6.8302350000000001</v>
      </c>
      <c r="I220" s="25">
        <f t="shared" ref="I220:I227" si="16">LN(H220/H219)</f>
        <v>1.1859738836099735E-4</v>
      </c>
      <c r="J220">
        <v>6.8346549999999997</v>
      </c>
      <c r="K220" s="25">
        <f t="shared" ref="K220:K227" si="17">LN(J220/J219)</f>
        <v>6.0958008553464011E-4</v>
      </c>
      <c r="L220">
        <v>6.837275</v>
      </c>
      <c r="M220" s="25">
        <f t="shared" ref="M220:M227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ref="B228:B231" si="19">WEEKDAY(A228,2)</f>
        <v>2</v>
      </c>
    </row>
    <row r="229" spans="1:14" x14ac:dyDescent="0.25">
      <c r="A229" s="1">
        <v>42921</v>
      </c>
      <c r="B229" s="41">
        <f t="shared" si="19"/>
        <v>3</v>
      </c>
    </row>
    <row r="230" spans="1:14" x14ac:dyDescent="0.25">
      <c r="A230" s="1">
        <v>42922</v>
      </c>
      <c r="B230" s="41">
        <f t="shared" si="19"/>
        <v>4</v>
      </c>
    </row>
    <row r="231" spans="1:14" x14ac:dyDescent="0.25">
      <c r="A231" s="1">
        <v>42923</v>
      </c>
      <c r="B231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5"/>
  <sheetViews>
    <sheetView zoomScale="115" zoomScaleNormal="115" workbookViewId="0">
      <pane xSplit="2" ySplit="6" topLeftCell="C268" activePane="bottomRight" state="frozen"/>
      <selection pane="topRight" activeCell="C1" sqref="C1"/>
      <selection pane="bottomLeft" activeCell="A3" sqref="A3"/>
      <selection pane="bottomRight" activeCell="C281" sqref="C281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7265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2695312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26953125" bestFit="1" customWidth="1" collapsed="1"/>
    <col min="37" max="37" width="10.453125" bestFit="1" customWidth="1" collapsed="1"/>
    <col min="38" max="38" width="10.7265625" bestFit="1" customWidth="1" collapsed="1"/>
    <col min="39" max="42" width="10.6328125" bestFit="1" customWidth="1" collapsed="1"/>
    <col min="43" max="43" width="11.08984375" customWidth="1" collapsed="1"/>
    <col min="44" max="44" width="10.7265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7265625" bestFit="1" customWidth="1" collapsed="1"/>
    <col min="50" max="50" width="10.6328125" bestFit="1" customWidth="1" collapsed="1"/>
    <col min="51" max="51" width="10.7265625" bestFit="1" customWidth="1" collapsed="1"/>
    <col min="52" max="52" width="10.6328125" bestFit="1" customWidth="1" collapsed="1"/>
    <col min="53" max="53" width="14.2695312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2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0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2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2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2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2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2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2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2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2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2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2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2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2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2" x14ac:dyDescent="0.2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2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2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2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2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2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2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2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6" x14ac:dyDescent="0.2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2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2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6" x14ac:dyDescent="0.2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2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2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2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2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2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2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2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2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25">
      <c r="A238" s="1">
        <v>42853</v>
      </c>
      <c r="B238" s="41">
        <f t="shared" ref="B238:B28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2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2" x14ac:dyDescent="0.2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2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2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2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2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2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2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2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2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2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2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2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2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2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2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2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2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2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2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2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2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2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2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2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2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2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2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2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2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2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2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2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2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2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2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2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2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2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2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25">
      <c r="A281" s="1">
        <v>42919</v>
      </c>
      <c r="B281" s="41">
        <f t="shared" si="248"/>
        <v>1</v>
      </c>
    </row>
    <row r="282" spans="1:62" x14ac:dyDescent="0.25">
      <c r="A282" s="1">
        <v>42920</v>
      </c>
      <c r="B282" s="41">
        <f t="shared" si="248"/>
        <v>2</v>
      </c>
    </row>
    <row r="283" spans="1:62" x14ac:dyDescent="0.25">
      <c r="A283" s="1">
        <v>42921</v>
      </c>
      <c r="B283" s="41">
        <f t="shared" si="248"/>
        <v>3</v>
      </c>
    </row>
    <row r="284" spans="1:62" x14ac:dyDescent="0.25">
      <c r="A284" s="1">
        <v>42922</v>
      </c>
      <c r="B284" s="41">
        <f t="shared" si="248"/>
        <v>4</v>
      </c>
    </row>
    <row r="285" spans="1:62" x14ac:dyDescent="0.25">
      <c r="A285" s="1">
        <v>42923</v>
      </c>
      <c r="B285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8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B364" sqref="B364"/>
    </sheetView>
  </sheetViews>
  <sheetFormatPr defaultRowHeight="14" x14ac:dyDescent="0.25"/>
  <cols>
    <col min="1" max="1" width="11.72656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7265625" bestFit="1" customWidth="1" collapsed="1"/>
    <col min="12" max="12" width="13.90625" bestFit="1" customWidth="1" collapsed="1"/>
    <col min="14" max="14" width="38.7265625" style="50" customWidth="1" collapsed="1"/>
    <col min="15" max="15" width="38.7265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4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</row>
    <row r="366" spans="1:14" x14ac:dyDescent="0.25">
      <c r="A366" s="1">
        <v>42921</v>
      </c>
    </row>
    <row r="367" spans="1:14" x14ac:dyDescent="0.25">
      <c r="A367" s="1">
        <v>42922</v>
      </c>
    </row>
    <row r="368" spans="1:14" x14ac:dyDescent="0.25">
      <c r="A368" s="1">
        <v>42923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7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6" sqref="A36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 x14ac:dyDescent="0.25">
      <c r="A364" s="1">
        <v>42920</v>
      </c>
    </row>
    <row r="365" spans="1:13" x14ac:dyDescent="0.25">
      <c r="A365" s="1">
        <v>42921</v>
      </c>
    </row>
    <row r="366" spans="1:13" x14ac:dyDescent="0.25">
      <c r="A366" s="1">
        <v>42922</v>
      </c>
    </row>
    <row r="367" spans="1:13" x14ac:dyDescent="0.25">
      <c r="A367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8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A364" sqref="A364:A36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32.90625" customWidth="1" collapsed="1"/>
  </cols>
  <sheetData>
    <row r="1" spans="1:13" x14ac:dyDescent="0.25">
      <c r="J1" t="s">
        <v>217</v>
      </c>
    </row>
    <row r="2" spans="1:13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25">
      <c r="A56" s="1">
        <v>42480</v>
      </c>
      <c r="M56">
        <f t="shared" si="5"/>
        <v>3</v>
      </c>
    </row>
    <row r="57" spans="1:13" x14ac:dyDescent="0.25">
      <c r="A57" s="1">
        <v>42481</v>
      </c>
      <c r="B57">
        <v>9.75</v>
      </c>
      <c r="M57">
        <f t="shared" si="5"/>
        <v>4</v>
      </c>
    </row>
    <row r="58" spans="1:13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4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25">
      <c r="A365" s="1">
        <v>42920</v>
      </c>
    </row>
    <row r="366" spans="1:13" x14ac:dyDescent="0.25">
      <c r="A366" s="1">
        <v>42921</v>
      </c>
    </row>
    <row r="367" spans="1:13" x14ac:dyDescent="0.25">
      <c r="A367" s="1">
        <v>42922</v>
      </c>
    </row>
    <row r="368" spans="1:13" x14ac:dyDescent="0.2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8"/>
  <sheetViews>
    <sheetView tabSelected="1"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5" sqref="A36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67.08984375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25">
      <c r="A56" s="1">
        <v>42480</v>
      </c>
      <c r="M56">
        <f t="shared" si="5"/>
        <v>3</v>
      </c>
    </row>
    <row r="57" spans="1:13" x14ac:dyDescent="0.25">
      <c r="A57" s="1">
        <v>42481</v>
      </c>
      <c r="B57">
        <v>39</v>
      </c>
      <c r="M57">
        <f t="shared" si="5"/>
        <v>4</v>
      </c>
    </row>
    <row r="58" spans="1:13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2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2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2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2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2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2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2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2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2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2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2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2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2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2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2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2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2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2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2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2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2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2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2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2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2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2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2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2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2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2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2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2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2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2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2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2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2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2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2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2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2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2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2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2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2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2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2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2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2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2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2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2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2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2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2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2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2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2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2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2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2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2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2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2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2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2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2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2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2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2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2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2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2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2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2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2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2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2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2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2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2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2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2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2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2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2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2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2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2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2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2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2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2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2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2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2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 x14ac:dyDescent="0.2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2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2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2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2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2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2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2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2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2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2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4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2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2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2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25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 x14ac:dyDescent="0.25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 x14ac:dyDescent="0.25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 x14ac:dyDescent="0.25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 x14ac:dyDescent="0.25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 x14ac:dyDescent="0.25">
      <c r="A365" s="1">
        <v>42920</v>
      </c>
    </row>
    <row r="366" spans="1:13" x14ac:dyDescent="0.25">
      <c r="A366" s="1">
        <v>42921</v>
      </c>
    </row>
    <row r="367" spans="1:13" x14ac:dyDescent="0.25">
      <c r="A367" s="1">
        <v>42922</v>
      </c>
    </row>
    <row r="368" spans="1:13" x14ac:dyDescent="0.2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4"/>
  <sheetViews>
    <sheetView zoomScale="115" zoomScaleNormal="115" workbookViewId="0">
      <pane xSplit="1" ySplit="2" topLeftCell="E354" activePane="bottomRight" state="frozen"/>
      <selection pane="topRight" activeCell="B1" sqref="B1"/>
      <selection pane="bottomLeft" activeCell="A3" sqref="A3"/>
      <selection pane="bottomRight" activeCell="E370" sqref="E37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26953125" bestFit="1" customWidth="1" collapsed="1"/>
    <col min="12" max="12" width="12.7265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9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G370" s="42">
        <f t="shared" ref="G370" si="308">+B370/D370-1</f>
        <v>3.257260787944416E-3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 x14ac:dyDescent="0.25">
      <c r="A371" s="1">
        <v>42920</v>
      </c>
    </row>
    <row r="372" spans="1:13" x14ac:dyDescent="0.25">
      <c r="A372" s="1">
        <v>42921</v>
      </c>
    </row>
    <row r="373" spans="1:13" x14ac:dyDescent="0.25">
      <c r="A373" s="1">
        <v>42922</v>
      </c>
    </row>
    <row r="374" spans="1:13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B370" sqref="B37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22.269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 x14ac:dyDescent="0.25">
      <c r="A371" s="1">
        <v>42920</v>
      </c>
    </row>
    <row r="372" spans="1:13" x14ac:dyDescent="0.25">
      <c r="A372" s="1">
        <v>42921</v>
      </c>
    </row>
    <row r="373" spans="1:13" x14ac:dyDescent="0.25">
      <c r="A373" s="1">
        <v>42922</v>
      </c>
    </row>
    <row r="374" spans="1:13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4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E370" sqref="E37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15.26953125" style="50" customWidth="1" collapsed="1"/>
    <col min="15" max="15" width="40.7265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70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8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8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8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8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70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70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8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8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8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8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8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" si="299">+F369*(1+L370)</f>
        <v>27.079881673499468</v>
      </c>
      <c r="E370" s="26">
        <f>D370*((1-VLOOKUP(A370,FX!A:M,13,0)))</f>
        <v>27.01346802667825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3" x14ac:dyDescent="0.25">
      <c r="A371" s="1">
        <v>42920</v>
      </c>
    </row>
    <row r="372" spans="1:13" x14ac:dyDescent="0.25">
      <c r="A372" s="1">
        <v>42921</v>
      </c>
    </row>
    <row r="373" spans="1:13" x14ac:dyDescent="0.25">
      <c r="A373" s="1">
        <v>42922</v>
      </c>
    </row>
    <row r="374" spans="1:13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5"/>
  <sheetViews>
    <sheetView zoomScale="115" zoomScaleNormal="115" workbookViewId="0">
      <pane xSplit="1" ySplit="2" topLeftCell="E365" activePane="bottomRight" state="frozen"/>
      <selection pane="topRight" activeCell="B1" sqref="B1"/>
      <selection pane="bottomLeft" activeCell="A3" sqref="A3"/>
      <selection pane="bottomRight" activeCell="M371" sqref="M37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3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3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3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3" x14ac:dyDescent="0.25">
      <c r="A372" s="1">
        <v>42920</v>
      </c>
    </row>
    <row r="373" spans="1:13" x14ac:dyDescent="0.25">
      <c r="A373" s="1">
        <v>42921</v>
      </c>
    </row>
    <row r="374" spans="1:13" x14ac:dyDescent="0.25">
      <c r="A374" s="1">
        <v>42922</v>
      </c>
    </row>
    <row r="375" spans="1:13" x14ac:dyDescent="0.25">
      <c r="A375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2695312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2695312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2695312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7265625" style="2" customWidth="1" collapsed="1"/>
    <col min="30" max="30" width="10.453125" style="2" bestFit="1" customWidth="1" collapsed="1"/>
    <col min="31" max="31" width="9.6328125" style="2" customWidth="1" collapsed="1"/>
    <col min="32" max="32" width="7.7265625" style="2" customWidth="1" collapsed="1"/>
    <col min="33" max="33" width="10.453125" style="2" bestFit="1" customWidth="1" collapsed="1"/>
    <col min="34" max="34" width="11.2695312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7265625" style="2" customWidth="1" collapsed="1"/>
    <col min="41" max="41" width="1.453125" style="2" customWidth="1" collapsed="1"/>
    <col min="42" max="42" width="9.2695312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2695312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2695312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2695312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2017-07-03T22:14:56Z</dcterms:modified>
</cp:coreProperties>
</file>