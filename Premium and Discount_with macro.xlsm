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77" i="20" l="1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B226" i="25"/>
  <c r="B225" i="25"/>
  <c r="B224" i="25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<sst xmlns="http://schemas.openxmlformats.org/spreadsheetml/2006/main" count="497" uniqueCount="401">
  <si>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</si>
  <si>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</si>
  <si>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</si>
  <si>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</si>
  <si>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</si>
  <si>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</si>
  <si>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</si>
  <si>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</si>
  <si>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</si>
  <si>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</si>
  <si>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</si>
  <si>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</si>
  <si>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</si>
  <si>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</si>
  <si>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</si>
  <si>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</si>
  <si>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</si>
  <si>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</si>
  <si>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</si>
  <si>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</si>
  <si>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</si>
  <si>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</si>
  <si>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</si>
  <si>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</si>
  <si>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</si>
  <si>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</si>
  <si>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</si>
  <si>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</si>
  <si>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</si>
  <si>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</si>
  <si>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</si>
  <si>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</si>
  <si>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</si>
  <si>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</si>
  <si>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</si>
  <si>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</si>
  <si>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</si>
  <si>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</si>
  <si>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</si>
  <si>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</si>
  <si>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</si>
  <si>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</si>
  <si>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</si>
  <si>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</si>
  <si>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</si>
  <si>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</si>
  <si>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</si>
  <si>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</si>
  <si>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</si>
  <si>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</si>
  <si>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</si>
  <si>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</si>
  <si>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</si>
  <si>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</si>
  <si>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</si>
  <si>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</si>
  <si>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</si>
  <si>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</si>
  <si>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</si>
  <si>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</si>
  <si>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</si>
  <si>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</si>
  <si>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</si>
  <si>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</si>
  <si>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</si>
  <si>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</si>
  <si>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</si>
  <si>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</si>
  <si>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</si>
  <si>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</si>
  <si>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</si>
  <si>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</si>
  <si>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</si>
  <si>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</si>
  <si>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</si>
  <si>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</si>
  <si>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</si>
  <si>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</si>
  <si>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</si>
  <si>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</si>
  <si>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</si>
  <si>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</si>
  <si>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</si>
  <si>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</si>
  <si>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</si>
  <si>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</si>
  <si>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</si>
  <si>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</si>
  <si>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</si>
  <si>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</si>
  <si>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</si>
  <si>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</si>
  <si>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</si>
  <si>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</si>
  <si>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</si>
  <si>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</si>
  <si>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</si>
  <si>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</si>
  <si>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</si>
  <si>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</si>
  <si>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</si>
  <si>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</si>
  <si>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</si>
  <si>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</si>
  <si>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</si>
  <si>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</si>
  <si>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</si>
  <si>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</si>
  <si>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</si>
  <si>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</si>
  <si>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</si>
  <si>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</si>
  <si>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</si>
  <si>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</si>
  <si>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</si>
  <si>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</si>
  <si>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</si>
  <si>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</si>
  <si>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</si>
  <si>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</si>
  <si>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</si>
  <si>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</si>
  <si>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</si>
  <si>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</si>
  <si>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</si>
  <si>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</si>
  <si>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</si>
  <si>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</si>
  <si>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</si>
  <si>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</si>
  <si>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</si>
  <si>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</si>
  <si>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</si>
  <si>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</si>
  <si>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</si>
  <si>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</si>
  <si>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</si>
  <si>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</si>
  <si>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</si>
  <si>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</si>
  <si>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</si>
  <si>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</si>
  <si>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</si>
  <si>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</si>
  <si>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</si>
  <si>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</si>
  <si>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</si>
  <si>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</si>
  <si>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</si>
  <si>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</si>
  <si>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</si>
  <si>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</si>
  <si>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</si>
  <si>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</si>
  <si>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</si>
  <si>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</si>
  <si>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</si>
  <si>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</si>
  <si>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</si>
  <si>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</si>
  <si>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</si>
  <si>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</si>
  <si>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</si>
  <si>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</si>
  <si>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</si>
  <si>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</si>
  <si>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</si>
  <si>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</si>
  <si>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</si>
  <si>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</si>
  <si>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</si>
  <si>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</si>
  <si>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</si>
  <si>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</si>
  <si>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</si>
  <si>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</si>
  <si>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</si>
  <si>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</si>
  <si>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</si>
  <si>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</si>
  <si>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</si>
  <si>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</si>
  <si>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</si>
  <si>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</si>
  <si>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</si>
  <si>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</si>
  <si>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</si>
  <si>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</si>
  <si>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</si>
  <si>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</si>
  <si>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</si>
  <si>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</si>
  <si>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</si>
  <si>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</si>
  <si>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</si>
  <si>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</si>
  <si>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</si>
  <si>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</si>
  <si>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</si>
  <si>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</si>
  <si>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</si>
  <si>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</si>
  <si>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</si>
  <si>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</si>
  <si>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</si>
  <si>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</si>
  <si>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</si>
  <si>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</si>
  <si>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</si>
  <si>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</si>
  <si>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</si>
  <si>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</si>
  <si>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</si>
  <si>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</si>
  <si>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</si>
  <si>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</si>
  <si>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</si>
  <si>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</si>
  <si>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</si>
  <si>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</si>
  <si>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</si>
  <si>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</si>
  <si>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</si>
  <si>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</si>
  <si>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</si>
  <si>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</si>
  <si>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</si>
  <si>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</si>
  <si>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</si>
  <si>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</si>
  <si>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</si>
  <si>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</si>
  <si>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</si>
  <si>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</si>
  <si>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</si>
  <si>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</si>
  <si>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</si>
  <si>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</si>
  <si>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</si>
  <si>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</si>
  <si>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</si>
  <si>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</si>
  <si>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</si>
  <si>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</si>
  <si>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</si>
  <si>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</si>
  <si>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</si>
  <si>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</si>
  <si>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</si>
  <si>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</si>
  <si>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</si>
  <si>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</si>
  <si>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</si>
  <si>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</si>
  <si>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</si>
  <si>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</si>
  <si>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</si>
  <si>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</si>
  <si>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</si>
  <si>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</si>
  <si>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</si>
  <si>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</si>
  <si>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</si>
  <si>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</si>
  <si>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</si>
  <si>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</si>
  <si>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</si>
  <si>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</si>
  <si>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</si>
  <si>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</si>
  <si>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</si>
  <si>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</si>
  <si>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</si>
  <si>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</si>
  <si>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</si>
  <si>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</si>
  <si>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</si>
  <si>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</si>
  <si>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</si>
  <si>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</si>
  <si>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</si>
  <si>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</si>
  <si>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</si>
  <si>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</si>
  <si>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</si>
  <si>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</si>
  <si>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</si>
  <si>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</si>
  <si>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</si>
  <si>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</si>
  <si>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</si>
  <si>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</si>
  <si>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</si>
  <si>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</si>
  <si>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</si>
  <si>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</si>
  <si>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</si>
  <si>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</si>
  <si>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</si>
  <si>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</si>
  <si>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</si>
  <si>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</si>
  <si>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</si>
  <si>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</si>
  <si>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</si>
  <si>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</si>
  <si>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</si>
  <si>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</si>
  <si>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</si>
  <si>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</si>
  <si>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</si>
  <si>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</si>
  <si>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</si>
  <si>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</si>
  <si>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</si>
  <si>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</si>
  <si>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</si>
  <si>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</si>
  <si>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</si>
  <si>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</si>
  <si>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</si>
  <si>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</si>
  <si>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</si>
  <si>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</si>
  <si>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</si>
  <si>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</si>
  <si>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</si>
  <si>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</si>
  <si>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</si>
  <si>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</si>
  <si>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</si>
  <si>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</si>
  <si>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</si>
  <si>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</si>
  <si>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</si>
  <si>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</si>
  <si>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</si>
  <si>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</si>
  <si>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</si>
  <si>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</si>
  <si>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</si>
  <si>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</si>
  <si>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</si>
  <si>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</si>
  <si>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</si>
  <si>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</si>
  <si>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</si>
  <si>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</si>
  <si>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</si>
  <si>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</si>
  <si>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</si>
  <si>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</si>
  <si>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</si>
  <si>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</si>
  <si>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</si>
  <si>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</si>
  <si>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</si>
  <si>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</si>
  <si>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</si>
  <si>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</si>
  <si>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</si>
  <si>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</si>
  <si>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</si>
  <si>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</si>
  <si>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</si>
  <si>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</si>
  <si>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</si>
  <si>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</si>
  <si>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</si>
  <si>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</si>
  <si>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</si>
  <si>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</si>
  <si>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</si>
  <si>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</si>
  <si>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</si>
  <si>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</si>
  <si>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</si>
  <si>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</si>
  <si>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</si>
  <si>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</si>
  <si>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</si>
  <si>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</si>
  <si>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</si>
  <si>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</si>
  <si>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</si>
  <si>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</si>
  <si>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</si>
  <si>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</si>
  <si>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</si>
  <si>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</si>
  <si>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</si>
  <si>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</si>
  <si>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</si>
  <si>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</si>
  <si>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</si>
  <si>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</si>
  <si>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</si>
  <si>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</si>
  <si>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</si>
  <si>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FTSEA50 2</t>
  </si>
  <si>
    <t>rmb rose more than 1% since 1.5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</si>
</sst>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tabSelected="1" zoomScale="115" zoomScaleNormal="115" workbookViewId="0">
      <selection activeCell="B33" sqref="B3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42913</v>
      </c>
    </row>
    <row r="2" spans="1:14" x14ac:dyDescent="0.15">
      <c r="A2" t="s">
        <v>391</v>
      </c>
      <c r="B2" s="39">
        <v>6.8474250000000003</v>
      </c>
      <c r="C2" s="1">
        <v>42913</v>
      </c>
      <c r="D2" s="41">
        <v>13</v>
      </c>
    </row>
    <row r="3" spans="1:14" x14ac:dyDescent="0.15">
      <c r="A3" t="s">
        <v>392</v>
      </c>
      <c r="B3" s="39">
        <v>6.8155849999999996</v>
      </c>
      <c r="C3" s="1">
        <v>42913</v>
      </c>
      <c r="D3" s="41">
        <v>16</v>
      </c>
      <c r="J3" s="91"/>
      <c r="K3" s="92"/>
      <c r="L3" s="93"/>
    </row>
    <row r="4" spans="1:14" x14ac:dyDescent="0.15">
      <c r="A4" t="s">
        <v>393</v>
      </c>
      <c r="B4" s="39">
        <v>6.8141850000000002</v>
      </c>
      <c r="C4" s="1">
        <v>42914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3674.7152000000001</v>
      </c>
      <c r="C5" s="41">
        <v>3668.0918999999999</v>
      </c>
      <c r="D5" s="25">
        <v>1.8E-3</v>
      </c>
      <c r="J5" s="71"/>
      <c r="K5" s="72"/>
      <c r="L5" s="73"/>
      <c r="M5" s="74"/>
    </row>
    <row r="6" spans="1:14" x14ac:dyDescent="0.15">
      <c r="A6" t="s">
        <v>349</v>
      </c>
      <c r="B6" s="39">
        <v>3191.1968999999999</v>
      </c>
      <c r="C6" s="41">
        <v>3185.4439000000002</v>
      </c>
      <c r="D6" s="25">
        <v>1.8E-3</v>
      </c>
      <c r="J6" s="75"/>
      <c r="K6" s="76"/>
      <c r="L6" s="77"/>
      <c r="M6" s="78"/>
    </row>
    <row r="7" spans="1:14" x14ac:dyDescent="0.15">
      <c r="A7" t="s">
        <v>350</v>
      </c>
      <c r="B7">
        <v>1819.934</v>
      </c>
      <c r="C7" s="39">
        <v>1821.277</v>
      </c>
      <c r="D7" s="25">
        <v>-6.9999999999999999E-4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10535.364</v>
      </c>
      <c r="C8" s="39">
        <v>10537.591</v>
      </c>
      <c r="D8" s="25">
        <v>-2.0000000000000001E-4</v>
      </c>
      <c r="J8" s="83"/>
      <c r="K8" s="84"/>
      <c r="L8" s="85"/>
      <c r="M8" s="86"/>
    </row>
    <row r="9" spans="1:14" x14ac:dyDescent="0.15">
      <c r="A9" t="s">
        <v>352</v>
      </c>
      <c r="B9">
        <v>6113.1657999999998</v>
      </c>
      <c r="C9" s="39">
        <v>6111.6405999999997</v>
      </c>
      <c r="D9" s="25">
        <v>2.0000000000000001E-4</v>
      </c>
      <c r="J9" s="87"/>
      <c r="K9" s="88"/>
      <c r="L9" s="89"/>
      <c r="M9" s="90"/>
    </row>
    <row r="10" spans="1:14" x14ac:dyDescent="0.15">
      <c r="A10" t="s">
        <v>353</v>
      </c>
      <c r="B10">
        <v>12.44</v>
      </c>
      <c r="C10" s="39">
        <v>12.743</v>
      </c>
      <c r="D10" s="1">
        <v>42913</v>
      </c>
    </row>
    <row r="11" spans="1:14" x14ac:dyDescent="0.15">
      <c r="A11" t="s">
        <v>354</v>
      </c>
      <c r="B11">
        <v>12.98</v>
      </c>
      <c r="C11" s="39">
        <v>13.004</v>
      </c>
      <c r="D11" s="1">
        <v>42913</v>
      </c>
    </row>
    <row r="12" spans="1:14" x14ac:dyDescent="0.15">
      <c r="A12" t="s">
        <v>355</v>
      </c>
      <c r="B12">
        <v>7.73</v>
      </c>
      <c r="C12" s="1">
        <v>7.7549999999999999</v>
      </c>
      <c r="D12" s="1">
        <v>42913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43.05</v>
      </c>
      <c r="C13" s="39">
        <v>42.927</v>
      </c>
      <c r="D13" s="1">
        <v>42913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39.83</v>
      </c>
      <c r="C14" s="39">
        <v>40.21</v>
      </c>
      <c r="D14" s="1">
        <v>42912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31.136700000000001</v>
      </c>
      <c r="C15">
        <v>30.993300000000001</v>
      </c>
      <c r="D15" s="1">
        <v>42912</v>
      </c>
    </row>
    <row r="16" spans="1:14" x14ac:dyDescent="0.15">
      <c r="A16" t="s">
        <v>359</v>
      </c>
      <c r="B16">
        <v>27.08</v>
      </c>
      <c r="C16">
        <v>26.8841</v>
      </c>
      <c r="D16" s="1">
        <v>42912</v>
      </c>
    </row>
    <row r="17" spans="1:16" x14ac:dyDescent="0.15">
      <c r="A17" t="s">
        <v>360</v>
      </c>
      <c r="B17">
        <v>32.64</v>
      </c>
      <c r="C17" s="1">
        <v>32.501300000000001</v>
      </c>
      <c r="D17" s="1">
        <v>42912</v>
      </c>
    </row>
    <row r="18" spans="1:16" x14ac:dyDescent="0.15">
      <c r="A18" t="s">
        <v>361</v>
      </c>
      <c r="B18">
        <v>11492.66</v>
      </c>
      <c r="C18" s="1"/>
      <c r="D18" s="1"/>
    </row>
    <row r="19" spans="1:16" x14ac:dyDescent="0.15">
      <c r="A19" t="s">
        <v>399</v>
      </c>
      <c r="B19">
        <v>11492.66</v>
      </c>
      <c r="D19" s="1"/>
    </row>
    <row r="20" spans="1:16" x14ac:dyDescent="0.15">
      <c r="A20" t="s">
        <v>362</v>
      </c>
      <c r="B20">
        <v>17897.96</v>
      </c>
      <c r="C20" s="1"/>
      <c r="D20" s="41"/>
    </row>
    <row r="21" spans="1:16" x14ac:dyDescent="0.15">
      <c r="A21" t="s">
        <v>363</v>
      </c>
      <c r="B21">
        <v>6.8291999999999904</v>
      </c>
      <c r="C21" s="1">
        <v>42914</v>
      </c>
      <c r="D21" s="41">
        <v>0.22916666666666666</v>
      </c>
    </row>
    <row r="22" spans="1:16" x14ac:dyDescent="0.15">
      <c r="A22" t="s">
        <v>364</v>
      </c>
      <c r="B22">
        <v>931</v>
      </c>
      <c r="C22" s="39">
        <v>935</v>
      </c>
      <c r="D22" s="41">
        <v>940</v>
      </c>
      <c r="E22" t="s">
        <v>365</v>
      </c>
      <c r="F22" t="s">
        <v>366</v>
      </c>
      <c r="G22" t="s">
        <v>367</v>
      </c>
      <c r="H22" t="s">
        <v>368</v>
      </c>
      <c r="I22" t="s">
        <v>369</v>
      </c>
      <c r="J22" t="s">
        <v>370</v>
      </c>
      <c r="K22" t="s">
        <v>371</v>
      </c>
      <c r="L22" t="s">
        <v>372</v>
      </c>
      <c r="M22" t="s">
        <v>373</v>
      </c>
      <c r="N22" t="s">
        <v>374</v>
      </c>
      <c r="O22" t="s">
        <v>375</v>
      </c>
      <c r="P22" t="s">
        <v>376</v>
      </c>
    </row>
    <row r="23" spans="1:16" x14ac:dyDescent="0.15">
      <c r="A23" s="39">
        <v>3183.4198000000001</v>
      </c>
      <c r="B23" s="39">
        <v>3182.1174000000001</v>
      </c>
      <c r="C23" s="39">
        <v>3186.2570999999998</v>
      </c>
      <c r="D23" s="1">
        <v>3181.77</v>
      </c>
      <c r="E23">
        <v>3182.6601999999998</v>
      </c>
      <c r="F23">
        <v>3187.3409000000001</v>
      </c>
      <c r="G23">
        <v>3177.9681999999998</v>
      </c>
      <c r="H23">
        <v>1051</v>
      </c>
      <c r="I23">
        <v>944</v>
      </c>
      <c r="J23">
        <v>3182.6601999999998</v>
      </c>
      <c r="K23">
        <v>3176.4407999999999</v>
      </c>
      <c r="L23">
        <v>3191.5147000000002</v>
      </c>
      <c r="M23">
        <v>3193.4319</v>
      </c>
      <c r="N23">
        <v>3172.6689999999999</v>
      </c>
      <c r="O23">
        <v>1438</v>
      </c>
      <c r="P23">
        <v>1329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26"/>
  <sheetViews>
    <sheetView zoomScale="115" zoomScaleNormal="115" workbookViewId="0">
      <pane xSplit="1" ySplit="1" topLeftCell="B194" activePane="bottomRight" state="frozen"/>
      <selection pane="topRight" activeCell="B1" sqref="B1"/>
      <selection pane="bottomLeft" activeCell="A2" sqref="A2"/>
      <selection pane="bottomRight" activeCell="F216" sqref="F21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2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23" si="15">LN(C220/C219)</f>
        <v>5.8655326653686257E-5</v>
      </c>
      <c r="H220">
        <v>6.8302350000000001</v>
      </c>
      <c r="I220" s="25">
        <f t="shared" ref="I220:I223" si="16">LN(H220/H219)</f>
        <v>1.1859738836099735E-4</v>
      </c>
      <c r="J220">
        <v>6.8346549999999997</v>
      </c>
      <c r="K220" s="25">
        <f t="shared" ref="K220:K223" si="17">LN(J220/J219)</f>
        <v>6.0958008553464011E-4</v>
      </c>
      <c r="L220">
        <v>6.837275</v>
      </c>
      <c r="M220" s="25">
        <f t="shared" ref="M220:M223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400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</row>
    <row r="225" spans="1:2" x14ac:dyDescent="0.15">
      <c r="A225" s="1">
        <v>42915</v>
      </c>
      <c r="B225" s="41">
        <f t="shared" si="14"/>
        <v>4</v>
      </c>
    </row>
    <row r="226" spans="1:2" x14ac:dyDescent="0.15">
      <c r="A226" s="1">
        <v>42916</v>
      </c>
      <c r="B22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0"/>
  <sheetViews>
    <sheetView zoomScale="115" zoomScaleNormal="115" workbookViewId="0">
      <pane xSplit="2" ySplit="6" topLeftCell="C253" activePane="bottomRight" state="frozen"/>
      <selection pane="topRight" activeCell="C1" sqref="C1"/>
      <selection pane="bottomLeft" activeCell="A3" sqref="A3"/>
      <selection pane="bottomRight" activeCell="A283" sqref="A28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77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8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</row>
    <row r="279" spans="1:62" x14ac:dyDescent="0.15">
      <c r="A279" s="1">
        <v>42915</v>
      </c>
      <c r="B279" s="41">
        <f t="shared" si="248"/>
        <v>4</v>
      </c>
    </row>
    <row r="280" spans="1:62" x14ac:dyDescent="0.15">
      <c r="A280" s="1">
        <v>42916</v>
      </c>
      <c r="B28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D360" sqref="D360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0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>+K356/J356-1</f>
        <v>1.1780868967885993E-2</v>
      </c>
      <c r="M356">
        <f t="shared" ref="M356:M357" si="271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>+K357/J357-1</f>
        <v>7.7121396743267123E-3</v>
      </c>
      <c r="M357">
        <f t="shared" si="271"/>
        <v>4</v>
      </c>
    </row>
    <row r="358" spans="1:14" x14ac:dyDescent="0.15">
      <c r="A358" s="1">
        <v>42909</v>
      </c>
      <c r="B358">
        <v>12.3</v>
      </c>
      <c r="C358" s="25">
        <f t="shared" ref="C358" si="272">B358/B357-1</f>
        <v>9.8522167487684609E-3</v>
      </c>
      <c r="D358" s="26">
        <f t="shared" ref="D358" si="273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>+K358/J358-1</f>
        <v>7.2994059592015326E-3</v>
      </c>
      <c r="M358">
        <f t="shared" ref="M358" si="274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5">B359/B358-1</f>
        <v>9.7560975609756184E-3</v>
      </c>
      <c r="D359" s="26">
        <f t="shared" ref="D359" si="276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>+B359/D359-1</f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>+K359/J359-1</f>
        <v>6.5354127668488804E-3</v>
      </c>
      <c r="M359">
        <f t="shared" ref="M359" si="277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78">B360/B359-1</f>
        <v>1.6103059581320522E-3</v>
      </c>
      <c r="D360" s="26">
        <f t="shared" ref="D360" si="279">+F359*(1+L360)</f>
        <v>12.755810852000138</v>
      </c>
      <c r="E360" s="26">
        <f>D360*(1-VLOOKUP(A360,FX!A:K,9,0))</f>
        <v>12.758921452974461</v>
      </c>
      <c r="F360">
        <v>12.743</v>
      </c>
      <c r="G360" s="25">
        <f>+B360/D360-1</f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>+K360/J360-1</f>
        <v>4.8692966756056499E-3</v>
      </c>
      <c r="M360">
        <f t="shared" ref="M360" si="280">WEEKDAY(A360,2)</f>
        <v>2</v>
      </c>
    </row>
    <row r="361" spans="1:14" x14ac:dyDescent="0.15">
      <c r="A361" s="1">
        <v>42914</v>
      </c>
    </row>
    <row r="362" spans="1:14" x14ac:dyDescent="0.15">
      <c r="A362" s="1">
        <v>42915</v>
      </c>
    </row>
    <row r="363" spans="1:14" x14ac:dyDescent="0.15">
      <c r="A363" s="1">
        <v>42916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2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B358" sqref="B3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5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x14ac:dyDescent="0.15">
      <c r="A360" s="1">
        <v>42914</v>
      </c>
    </row>
    <row r="361" spans="1:13" x14ac:dyDescent="0.15">
      <c r="A361" s="1">
        <v>42915</v>
      </c>
    </row>
    <row r="362" spans="1:13" x14ac:dyDescent="0.15">
      <c r="A362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3"/>
  <sheetViews>
    <sheetView zoomScale="115" zoomScaleNormal="115" workbookViewId="0">
      <pane xSplit="1" ySplit="2" topLeftCell="B333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0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1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1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1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1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1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1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1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1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1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1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1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1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1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1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1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1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1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1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1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1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1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1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1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1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1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1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1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1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1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1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1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1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1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1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1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1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1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1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1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1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 x14ac:dyDescent="0.1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1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1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1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1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0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1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1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1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1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9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D365" sqref="D365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5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0">B364/B363-1</f>
        <v>7.5490689481627626E-4</v>
      </c>
      <c r="D364" s="38">
        <f t="shared" ref="D364" si="281">+F363*(1+L364)</f>
        <v>39.819987209377075</v>
      </c>
      <c r="F364">
        <v>39.82</v>
      </c>
      <c r="G364" s="42">
        <f>+B364/D364-1</f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2">+K364/J364-1</f>
        <v>1.7606845126307835E-3</v>
      </c>
      <c r="M364">
        <f t="shared" ref="M364" si="283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4">B365/B364-1</f>
        <v>1.1566507417651417E-2</v>
      </c>
      <c r="D365" s="38">
        <f t="shared" ref="D365" si="285">+F364*(1+L365)</f>
        <v>40.187309671361085</v>
      </c>
      <c r="F365">
        <v>40.21</v>
      </c>
      <c r="G365" s="42">
        <f>+B365/D365-1</f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6">+K365/J365-1</f>
        <v>9.2242509131361672E-3</v>
      </c>
      <c r="M365">
        <f t="shared" ref="M365" si="28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8">B366/B365-1</f>
        <v>-9.9428287347750333E-3</v>
      </c>
      <c r="D366" s="38">
        <f t="shared" ref="D366" si="289">+F365*(1+L366)</f>
        <v>40.145289184188371</v>
      </c>
      <c r="G366" s="42">
        <f>+B366/D366-1</f>
        <v>-7.8537031516153766E-3</v>
      </c>
      <c r="J366">
        <v>17926.810000000001</v>
      </c>
      <c r="K366">
        <v>17897.96</v>
      </c>
      <c r="L366" s="25">
        <f t="shared" ref="L366" si="290">+K366/J366-1</f>
        <v>-1.6093214576381465E-3</v>
      </c>
      <c r="M366">
        <f t="shared" ref="M366" si="291">WEEKDAY(A366,2)</f>
        <v>2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9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65" sqref="B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69"/>
  <sheetViews>
    <sheetView zoomScale="115" zoomScaleNormal="115" workbookViewId="0">
      <pane xSplit="1" ySplit="2" topLeftCell="B344" activePane="bottomRight" state="frozen"/>
      <selection pane="topRight" activeCell="B1" sqref="B1"/>
      <selection pane="bottomLeft" activeCell="A3" sqref="A3"/>
      <selection pane="bottomRight" activeCell="E365" sqref="E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5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</row>
    <row r="368" spans="1:14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0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C367" sqref="C3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</row>
    <row r="369" spans="1:1" x14ac:dyDescent="0.15">
      <c r="A369" s="1">
        <v>42915</v>
      </c>
    </row>
    <row r="370" spans="1:1" x14ac:dyDescent="0.15">
      <c r="A370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2017-06-27T22:41:26Z</dcterms:modified>
</cp:coreProperties>
</file>